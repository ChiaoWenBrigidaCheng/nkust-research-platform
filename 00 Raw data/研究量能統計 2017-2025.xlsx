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nkust-research-platform\00 Raw data\"/>
    </mc:Choice>
  </mc:AlternateContent>
  <xr:revisionPtr revIDLastSave="0" documentId="13_ncr:1_{3F8A0DB7-7173-4447-850C-BDC675B1392A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General" sheetId="1" r:id="rId1"/>
    <sheet name="Scource" sheetId="5" r:id="rId2"/>
    <sheet name="Universities" sheetId="8" r:id="rId3"/>
  </sheets>
  <definedNames>
    <definedName name="_xlnm._FilterDatabase" localSheetId="0" hidden="1">General!$A$1:$W$71</definedName>
  </definedNames>
  <calcPr calcId="191029"/>
</workbook>
</file>

<file path=xl/calcChain.xml><?xml version="1.0" encoding="utf-8"?>
<calcChain xmlns="http://schemas.openxmlformats.org/spreadsheetml/2006/main">
  <c r="F6" i="1" l="1"/>
  <c r="G70" i="1"/>
  <c r="F70" i="1"/>
  <c r="G69" i="1"/>
  <c r="F69" i="1"/>
  <c r="G68" i="1"/>
  <c r="F68" i="1"/>
  <c r="F67" i="1"/>
  <c r="G66" i="1"/>
  <c r="F66" i="1"/>
  <c r="G65" i="1"/>
  <c r="F65" i="1"/>
  <c r="G64" i="1"/>
  <c r="F64" i="1"/>
  <c r="G63" i="1"/>
  <c r="F63" i="1"/>
  <c r="G62" i="1"/>
  <c r="F62" i="1"/>
  <c r="G60" i="1"/>
  <c r="F60" i="1"/>
  <c r="G59" i="1"/>
  <c r="F59" i="1"/>
  <c r="G58" i="1"/>
  <c r="F58" i="1"/>
  <c r="F57" i="1"/>
  <c r="G56" i="1"/>
  <c r="F56" i="1"/>
  <c r="G55" i="1"/>
  <c r="F55" i="1"/>
  <c r="G54" i="1"/>
  <c r="F54" i="1"/>
  <c r="G53" i="1"/>
  <c r="F53" i="1"/>
  <c r="G52" i="1"/>
  <c r="F52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E42" i="1"/>
  <c r="G42" i="1" s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10" i="1"/>
  <c r="F10" i="1"/>
  <c r="G9" i="1"/>
  <c r="F9" i="1"/>
  <c r="G8" i="1"/>
  <c r="F8" i="1"/>
  <c r="F7" i="1"/>
  <c r="G6" i="1"/>
  <c r="G5" i="1"/>
  <c r="F5" i="1"/>
  <c r="G4" i="1"/>
  <c r="F4" i="1"/>
  <c r="G3" i="1"/>
  <c r="F3" i="1"/>
  <c r="G2" i="1"/>
  <c r="F2" i="1"/>
  <c r="F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Chiaowen</author>
  </authors>
  <commentList>
    <comment ref="P1" authorId="0" shapeId="0" xr:uid="{00000000-0006-0000-0000-000001000000}">
      <text>
        <r>
          <rPr>
            <sz val="12"/>
            <color theme="1"/>
            <rFont val="Calibri"/>
          </rPr>
          <t>2026. 07.15 Scopus</t>
        </r>
      </text>
    </comment>
  </commentList>
</comments>
</file>

<file path=xl/sharedStrings.xml><?xml version="1.0" encoding="utf-8"?>
<sst xmlns="http://schemas.openxmlformats.org/spreadsheetml/2006/main" count="229" uniqueCount="128">
  <si>
    <t>學校</t>
  </si>
  <si>
    <t>年度</t>
  </si>
  <si>
    <t>WOS發表數</t>
  </si>
  <si>
    <t>Scopus發表數</t>
  </si>
  <si>
    <t>教研人數</t>
  </si>
  <si>
    <t>WOS每師平均</t>
  </si>
  <si>
    <t>Scopus每師平均</t>
  </si>
  <si>
    <t>h5-index</t>
  </si>
  <si>
    <t>FWCI</t>
  </si>
  <si>
    <t>國際合著論文比 %</t>
  </si>
  <si>
    <t>國際合著論文數</t>
  </si>
  <si>
    <t>國際合著論文FWCI</t>
  </si>
  <si>
    <t>國際合著論文影響力</t>
  </si>
  <si>
    <t>產學合著論文比 %</t>
  </si>
  <si>
    <t>產學合著論文數</t>
  </si>
  <si>
    <t>產學合著論文FWCI</t>
  </si>
  <si>
    <t>產學合著論文影響力</t>
  </si>
  <si>
    <t>高被引論文占比 %</t>
  </si>
  <si>
    <t>高被引論文數</t>
  </si>
  <si>
    <t>高被引論文FWCI</t>
  </si>
  <si>
    <t>高品質期刊論文占比 %</t>
  </si>
  <si>
    <t>高品質期刊論文數</t>
  </si>
  <si>
    <t>高品質期刊論文FWCI</t>
  </si>
  <si>
    <t>北科大</t>
  </si>
  <si>
    <t>469</t>
  </si>
  <si>
    <t>471</t>
  </si>
  <si>
    <t>459</t>
  </si>
  <si>
    <t>463</t>
  </si>
  <si>
    <t>479</t>
  </si>
  <si>
    <t>495</t>
  </si>
  <si>
    <t>494</t>
  </si>
  <si>
    <t>488</t>
  </si>
  <si>
    <t>2017-2025</t>
  </si>
  <si>
    <t>台灣</t>
  </si>
  <si>
    <t>虎科大</t>
  </si>
  <si>
    <t>335</t>
  </si>
  <si>
    <t>-</t>
  </si>
  <si>
    <t>342</t>
  </si>
  <si>
    <t>347</t>
  </si>
  <si>
    <t>349</t>
  </si>
  <si>
    <t>353</t>
  </si>
  <si>
    <t>372</t>
  </si>
  <si>
    <t>364</t>
  </si>
  <si>
    <t>366</t>
  </si>
  <si>
    <t>屏科大</t>
  </si>
  <si>
    <t>411</t>
  </si>
  <si>
    <t>404</t>
  </si>
  <si>
    <t>433</t>
  </si>
  <si>
    <t>403</t>
  </si>
  <si>
    <t>445</t>
  </si>
  <si>
    <t>447</t>
  </si>
  <si>
    <t>441</t>
  </si>
  <si>
    <t>高科大</t>
  </si>
  <si>
    <t>871</t>
  </si>
  <si>
    <t>864</t>
  </si>
  <si>
    <t>860</t>
  </si>
  <si>
    <t>839</t>
  </si>
  <si>
    <t>862</t>
  </si>
  <si>
    <t>858</t>
  </si>
  <si>
    <t>雲科大</t>
  </si>
  <si>
    <t>420</t>
  </si>
  <si>
    <t>425</t>
  </si>
  <si>
    <t>418</t>
  </si>
  <si>
    <t>406</t>
  </si>
  <si>
    <t>410</t>
  </si>
  <si>
    <t>臺科大</t>
  </si>
  <si>
    <t>499</t>
  </si>
  <si>
    <t>532</t>
  </si>
  <si>
    <t>560</t>
  </si>
  <si>
    <t>522</t>
  </si>
  <si>
    <t>553</t>
  </si>
  <si>
    <t>572</t>
  </si>
  <si>
    <t>589</t>
  </si>
  <si>
    <t>國際合著論文比</t>
  </si>
  <si>
    <t>產學合著論文比</t>
  </si>
  <si>
    <t>期間</t>
  </si>
  <si>
    <t>指標</t>
  </si>
  <si>
    <t>指標說明</t>
  </si>
  <si>
    <t>General (ASJC)</t>
  </si>
  <si>
    <t xml:space="preserve">大專校院資訊公開平台
https://udb.moe.edu.tw/udata/DetailReportList/%E6%95%99%E8%81%B7%E9%A1%9E/StatUniversityRegularTeacher/Index </t>
  </si>
  <si>
    <t>SciVal-THE指標</t>
  </si>
  <si>
    <t>The number of publications of a selected entity.</t>
  </si>
  <si>
    <t>SciVal-QS指標</t>
  </si>
  <si>
    <t>The ratio of citations received relative to the expected world average for the subject field, publication type and publication year.  The world average FWCI is 1.00. (Mean)</t>
  </si>
  <si>
    <t>The extent of international co-authorship. (%)</t>
  </si>
  <si>
    <t>The extent of international co-authorship.</t>
  </si>
  <si>
    <t>Document Types: All publication types</t>
  </si>
  <si>
    <t>FWCI of the extent international co-authorship</t>
  </si>
  <si>
    <t>Geographical collaboration &gt; publication set &gt; summary download</t>
  </si>
  <si>
    <t>熱門關鍵字 Keyphrase analysis: publication set &gt; scroll down</t>
  </si>
  <si>
    <t>The average number of citations received by publications that have international co-authorship.</t>
  </si>
  <si>
    <t>臺灣部分：
1. 產學合著、國際合著、高品質、高被引(於SciVal存成publication sets後，需要等隔天才會可以使用)
2. 上述FWCI在SciVal &gt; Compare全選 &gt;Scholarly output &amp; FWCI
標竿學校：
Compare 選各校國際合著、產學合著、高被引、高品質後匯出</t>
  </si>
  <si>
    <t>Collaboration between author(s) with an academic affiliation and author(s) with affiliation(s) of another sector (corporate).(%)</t>
  </si>
  <si>
    <t>Collaboration between author(s) with an academic affiliation and author(s) with affiliation(s) of another sector (corporate).</t>
  </si>
  <si>
    <t>FWCI of the collaboration between author(s) with an academic affiliation and author(s) with affiliation(s) of another sector (corporate).</t>
  </si>
  <si>
    <t>Academic-corporate collaboration &gt; publication set &gt; summary download</t>
  </si>
  <si>
    <t>Citations per publication received by those publications that have authors with an academic affiliation as well as authors of affiliation(s) of another sector (corporate, government, medical or other).</t>
  </si>
  <si>
    <r>
      <t>最佳做法：設定publication sets &gt; Compare &gt; 選取</t>
    </r>
    <r>
      <rPr>
        <b/>
        <sz val="12"/>
        <color rgb="FFFF0000"/>
        <rFont val="Calibri"/>
        <family val="2"/>
        <scheme val="minor"/>
      </rPr>
      <t>各校及publication sets</t>
    </r>
    <r>
      <rPr>
        <sz val="12"/>
        <color rgb="FFFF0000"/>
        <rFont val="Calibri"/>
        <family val="2"/>
        <scheme val="minor"/>
      </rPr>
      <t>一次全部匯出</t>
    </r>
  </si>
  <si>
    <t>A measure of both the productivity and citation impact of an entity, based on the number of publications as well as the number of citations they have received. 
h5-index is h-index for the past 5 years.</t>
  </si>
  <si>
    <t>WOS</t>
  </si>
  <si>
    <t>2026.08.12</t>
  </si>
  <si>
    <t>高倍引論文占比</t>
  </si>
  <si>
    <t>Output in Top 10% Citation Percentiles (%)
The number of publications of a selected entity that are highly cited, having reached a particular threshold of citations received.</t>
  </si>
  <si>
    <t>高倍引論文數</t>
  </si>
  <si>
    <t>The number of publications of a selected entity that are highly cited, having reached a particular threshold of citations received.</t>
  </si>
  <si>
    <t xml:space="preserve"> </t>
  </si>
  <si>
    <t>高倍引論文FWCI</t>
  </si>
  <si>
    <t>FWCI of a selected entity that are highly cited, having reached a particular threshold of citations received.</t>
  </si>
  <si>
    <t>資料取得方式：參考教學影片</t>
  </si>
  <si>
    <t>高品質期刊占比</t>
  </si>
  <si>
    <t>Publications in Top 10 Journal Percentiles (CiteScore Percentile)
The number of publications of a selected entity that have been published in the world's top journals. (%)</t>
  </si>
  <si>
    <t xml:space="preserve">Publications in Top 10 Journal Percentiles (CiteScore Percentile)
The number of publications of a selected entity that have been published in the world's top journals. </t>
  </si>
  <si>
    <t>高品質期刊FWCI</t>
  </si>
  <si>
    <t xml:space="preserve">Publications in Top 10 Journal Percentiles (CiteScore Percentile)
FWCI of publications of a selected entity that have been published in the world's top journals. </t>
  </si>
  <si>
    <t>Name</t>
  </si>
  <si>
    <t>code</t>
  </si>
  <si>
    <t>National Formosa University</t>
  </si>
  <si>
    <t>NFU</t>
  </si>
  <si>
    <t>National Kaohsiung University of Science and Technology</t>
  </si>
  <si>
    <t>NKUST</t>
  </si>
  <si>
    <t>National Pingtung University of Science and Technology</t>
  </si>
  <si>
    <t>NPUST</t>
  </si>
  <si>
    <t>National Taipei University of Technology</t>
  </si>
  <si>
    <t>NTUT</t>
  </si>
  <si>
    <t>National Taiwan University of Science and Technology</t>
  </si>
  <si>
    <t>NTUST</t>
  </si>
  <si>
    <t>National Yunlin University of Science and Technology</t>
  </si>
  <si>
    <t>YUNTECH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</si>
</sst>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0" x14ac:knownFonts="1">
    <font>
      <sz val="12"/>
      <color theme="1"/>
      <name val="Calibri"/>
    </font>
    <font>
      <sz val="12"/>
      <color rgb="FFFF0000"/>
      <name val="Calibri"/>
    </font>
    <font>
      <sz val="12"/>
      <name val="Calibri"/>
    </font>
    <font>
      <sz val="12"/>
      <color theme="10"/>
      <name val="Calibri"/>
    </font>
    <font>
      <sz val="12"/>
      <color rgb="FFFF0000"/>
      <name val="Calibri"/>
    </font>
    <font>
      <b/>
      <sz val="12"/>
      <color theme="1"/>
      <name val="Calibri"/>
    </font>
    <font>
      <sz val="12"/>
      <name val="Calibri"/>
    </font>
    <font>
      <sz val="12"/>
      <color rgb="FFC00000"/>
      <name val="Calibri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theme="3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0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2" fontId="6" fillId="0" borderId="0" xfId="0" applyNumberFormat="1" applyFont="1" applyAlignment="1">
      <alignment horizontal="right"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ill="1" applyAlignment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6" fillId="0" borderId="0" xfId="0" applyNumberFormat="1" applyFont="1" applyFill="1" applyAlignment="1"/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2">
    <cellStyle name="一般" xfId="0" builtinId="0"/>
    <cellStyle name="超連結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db1273e6bc8a4b38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99060</xdr:colOff>
      <xdr:row>38</xdr:row>
      <xdr:rowOff>91440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1B57E1C4-75C3-44F0-A0E7-4D211A4B02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99060</xdr:colOff>
      <xdr:row>38</xdr:row>
      <xdr:rowOff>91440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CD81EDAE-8275-4840-A988-57F75B9887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99060</xdr:colOff>
      <xdr:row>38</xdr:row>
      <xdr:rowOff>91440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7C282187-91BB-45B0-902D-4E952634C9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99060</xdr:colOff>
      <xdr:row>38</xdr:row>
      <xdr:rowOff>91440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D7A072E-3307-4539-A9D8-1310A9F473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Chiaowen" id="{29D3939D-6106-990C-E3FC-6AD6C6D0C93D}"/>
</xltc: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\114\114%20&#26412;&#26657;&#29986;&#23416;&#30740;&#30332;&#37327;&#33021;\THE%20&#25351;&#27161;" TargetMode="External"/><Relationship Id="rId2" Type="http://schemas.openxmlformats.org/officeDocument/2006/relationships/hyperlink" Target="https://udb.moe.edu.tw/udata/DetailReportList/&#25945;&#32887;&#39006;/StatUniversityRegularTeacher/Index" TargetMode="External"/><Relationship Id="rId1" Type="http://schemas.openxmlformats.org/officeDocument/2006/relationships/hyperlink" Target="../114/114%20&#26412;&#26657;&#29986;&#23416;&#30740;&#30332;&#37327;&#33021;/Multiple_Metrics%20(2018-2024).xlsx" TargetMode="External"/><Relationship Id="rId4" Type="http://schemas.openxmlformats.org/officeDocument/2006/relationships/hyperlink" Target="../114/114%20&#26412;&#26657;&#29986;&#23416;&#30740;&#30332;&#37327;&#33021;/QS%20&#25351;&#27161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defaultColWidth="8.8984375" defaultRowHeight="15.6" x14ac:dyDescent="0.3"/>
  <cols>
    <col min="1" max="1" width="8.8984375" style="5" customWidth="1"/>
    <col min="2" max="2" width="9.5" style="5" customWidth="1"/>
    <col min="3" max="3" width="14.8984375" style="24" hidden="1" customWidth="1"/>
    <col min="4" max="4" width="16.69921875" style="26" customWidth="1"/>
    <col min="5" max="5" width="12.8984375" style="12" hidden="1" customWidth="1"/>
    <col min="6" max="6" width="17" style="17" hidden="1" customWidth="1"/>
    <col min="7" max="7" width="18.796875" style="17" customWidth="1"/>
    <col min="8" max="8" width="12.19921875" style="26" customWidth="1"/>
    <col min="9" max="9" width="9.19921875" style="26" customWidth="1"/>
    <col min="10" max="10" width="20.8984375" style="26" customWidth="1"/>
    <col min="11" max="11" width="19" style="28" customWidth="1"/>
    <col min="12" max="12" width="21.3984375" style="26" customWidth="1"/>
    <col min="13" max="13" width="23.09765625" style="26" customWidth="1"/>
    <col min="14" max="14" width="20.8984375" style="26" customWidth="1"/>
    <col min="15" max="15" width="19" style="28" customWidth="1"/>
    <col min="16" max="16" width="21.3984375" style="26" customWidth="1"/>
    <col min="17" max="17" width="23.09765625" style="26" customWidth="1"/>
    <col min="18" max="18" width="20.8984375" style="26" customWidth="1"/>
    <col min="19" max="19" width="17" style="28" customWidth="1"/>
    <col min="20" max="20" width="19.296875" style="26" customWidth="1"/>
    <col min="21" max="21" width="25" style="26" customWidth="1"/>
    <col min="22" max="22" width="21.09765625" style="28" customWidth="1"/>
    <col min="23" max="23" width="23.3984375" style="26" customWidth="1"/>
    <col min="24" max="16384" width="8.8984375" style="5"/>
  </cols>
  <sheetData>
    <row r="1" spans="1:23" x14ac:dyDescent="0.3">
      <c r="A1" s="5" t="s">
        <v>0</v>
      </c>
      <c r="B1" s="5" t="s">
        <v>1</v>
      </c>
      <c r="C1" s="23" t="s">
        <v>2</v>
      </c>
      <c r="D1" s="26" t="s">
        <v>3</v>
      </c>
      <c r="E1" s="32" t="s">
        <v>4</v>
      </c>
      <c r="F1" s="21" t="s">
        <v>5</v>
      </c>
      <c r="G1" s="21" t="s">
        <v>6</v>
      </c>
      <c r="H1" s="26" t="s">
        <v>7</v>
      </c>
      <c r="I1" s="26" t="s">
        <v>8</v>
      </c>
      <c r="J1" s="26" t="s">
        <v>9</v>
      </c>
      <c r="K1" s="28" t="s">
        <v>10</v>
      </c>
      <c r="L1" s="32" t="s">
        <v>11</v>
      </c>
      <c r="M1" s="26" t="s">
        <v>12</v>
      </c>
      <c r="N1" s="26" t="s">
        <v>13</v>
      </c>
      <c r="O1" s="28" t="s">
        <v>14</v>
      </c>
      <c r="P1" s="32" t="s">
        <v>15</v>
      </c>
      <c r="Q1" s="26" t="s">
        <v>16</v>
      </c>
      <c r="R1" s="26" t="s">
        <v>17</v>
      </c>
      <c r="S1" s="28" t="s">
        <v>18</v>
      </c>
      <c r="T1" s="33" t="s">
        <v>19</v>
      </c>
      <c r="U1" s="26" t="s">
        <v>20</v>
      </c>
      <c r="V1" s="28" t="s">
        <v>21</v>
      </c>
      <c r="W1" s="32" t="s">
        <v>22</v>
      </c>
    </row>
    <row r="2" spans="1:23" x14ac:dyDescent="0.3">
      <c r="A2" s="5" t="s">
        <v>23</v>
      </c>
      <c r="B2" s="5">
        <v>2017</v>
      </c>
      <c r="C2" s="24">
        <v>736</v>
      </c>
      <c r="D2" s="22">
        <v>1164</v>
      </c>
      <c r="E2" s="12">
        <v>470</v>
      </c>
      <c r="F2" s="18">
        <f t="shared" ref="F2:F10" si="0">C2/E2</f>
        <v>1.5659574468085107</v>
      </c>
      <c r="G2" s="18">
        <f>D2/E2</f>
        <v>2.4765957446808509</v>
      </c>
      <c r="H2" s="22">
        <v>46</v>
      </c>
      <c r="I2" s="22">
        <v>0.91</v>
      </c>
      <c r="J2" s="22">
        <v>23.8</v>
      </c>
      <c r="K2" s="22">
        <v>277</v>
      </c>
      <c r="L2" s="22">
        <v>1.68</v>
      </c>
      <c r="M2" s="22">
        <v>46.2</v>
      </c>
      <c r="N2" s="22">
        <v>2.1</v>
      </c>
      <c r="O2" s="22">
        <v>24</v>
      </c>
      <c r="P2" s="22">
        <v>1.01</v>
      </c>
      <c r="Q2" s="22">
        <v>24.2</v>
      </c>
      <c r="R2" s="22">
        <v>12.3</v>
      </c>
      <c r="S2" s="30">
        <v>143</v>
      </c>
      <c r="T2" s="22">
        <v>4.34</v>
      </c>
      <c r="U2" s="30">
        <v>32</v>
      </c>
      <c r="V2" s="30">
        <v>262</v>
      </c>
      <c r="W2" s="22">
        <v>1.98</v>
      </c>
    </row>
    <row r="3" spans="1:23" x14ac:dyDescent="0.3">
      <c r="A3" s="5" t="s">
        <v>23</v>
      </c>
      <c r="B3" s="5">
        <v>2018</v>
      </c>
      <c r="C3" s="25">
        <v>827</v>
      </c>
      <c r="D3" s="22">
        <v>1222</v>
      </c>
      <c r="E3" s="17" t="s">
        <v>24</v>
      </c>
      <c r="F3" s="18">
        <f t="shared" si="0"/>
        <v>1.7633262260127931</v>
      </c>
      <c r="G3" s="18">
        <f>D3/E3</f>
        <v>2.6055437100213221</v>
      </c>
      <c r="H3" s="22">
        <v>50</v>
      </c>
      <c r="I3" s="22">
        <v>0.91</v>
      </c>
      <c r="J3" s="22">
        <v>31.8</v>
      </c>
      <c r="K3" s="22">
        <v>388</v>
      </c>
      <c r="L3" s="22">
        <v>1.25</v>
      </c>
      <c r="M3" s="22">
        <v>34.1</v>
      </c>
      <c r="N3" s="22">
        <v>2.9</v>
      </c>
      <c r="O3" s="22">
        <v>35</v>
      </c>
      <c r="P3" s="22">
        <v>0.67</v>
      </c>
      <c r="Q3" s="22">
        <v>28.1</v>
      </c>
      <c r="R3" s="22">
        <v>11.9</v>
      </c>
      <c r="S3" s="22">
        <v>146</v>
      </c>
      <c r="T3" s="22">
        <v>4.18</v>
      </c>
      <c r="U3" s="22">
        <v>31.6</v>
      </c>
      <c r="V3" s="22">
        <v>279</v>
      </c>
      <c r="W3" s="22">
        <v>1.77</v>
      </c>
    </row>
    <row r="4" spans="1:23" x14ac:dyDescent="0.3">
      <c r="A4" s="5" t="s">
        <v>23</v>
      </c>
      <c r="B4" s="5">
        <v>2019</v>
      </c>
      <c r="C4" s="25">
        <v>923</v>
      </c>
      <c r="D4" s="22">
        <v>1233</v>
      </c>
      <c r="E4" s="17" t="s">
        <v>25</v>
      </c>
      <c r="F4" s="18">
        <f t="shared" si="0"/>
        <v>1.9596602972399151</v>
      </c>
      <c r="G4" s="18">
        <f>D4/E4</f>
        <v>2.6178343949044587</v>
      </c>
      <c r="H4" s="22">
        <v>55</v>
      </c>
      <c r="I4" s="22">
        <v>1.06</v>
      </c>
      <c r="J4" s="22">
        <v>34.5</v>
      </c>
      <c r="K4" s="22">
        <v>426</v>
      </c>
      <c r="L4" s="22">
        <v>1.48</v>
      </c>
      <c r="M4" s="22">
        <v>38.1</v>
      </c>
      <c r="N4" s="22">
        <v>2.9</v>
      </c>
      <c r="O4" s="22">
        <v>36</v>
      </c>
      <c r="P4" s="22">
        <v>0.76</v>
      </c>
      <c r="Q4" s="22">
        <v>12.2</v>
      </c>
      <c r="R4" s="22">
        <v>14.6</v>
      </c>
      <c r="S4" s="22">
        <v>180</v>
      </c>
      <c r="T4" s="22">
        <v>4.2</v>
      </c>
      <c r="U4" s="22">
        <v>32.200000000000003</v>
      </c>
      <c r="V4" s="22">
        <v>317</v>
      </c>
      <c r="W4" s="22">
        <v>2.17</v>
      </c>
    </row>
    <row r="5" spans="1:23" x14ac:dyDescent="0.3">
      <c r="A5" s="5" t="s">
        <v>23</v>
      </c>
      <c r="B5" s="5">
        <v>2020</v>
      </c>
      <c r="C5" s="25">
        <v>1046</v>
      </c>
      <c r="D5" s="22">
        <v>1382</v>
      </c>
      <c r="E5" s="17" t="s">
        <v>26</v>
      </c>
      <c r="F5" s="18">
        <f t="shared" si="0"/>
        <v>2.2788671023965144</v>
      </c>
      <c r="G5" s="18">
        <f>D5/E5</f>
        <v>3.0108932461873636</v>
      </c>
      <c r="H5" s="22">
        <v>61</v>
      </c>
      <c r="I5" s="22">
        <v>1.04</v>
      </c>
      <c r="J5" s="22">
        <v>36</v>
      </c>
      <c r="K5" s="22">
        <v>498</v>
      </c>
      <c r="L5" s="22">
        <v>1.39</v>
      </c>
      <c r="M5" s="22">
        <v>33.4</v>
      </c>
      <c r="N5" s="22">
        <v>3</v>
      </c>
      <c r="O5" s="22">
        <v>41</v>
      </c>
      <c r="P5" s="22">
        <v>0.99</v>
      </c>
      <c r="Q5" s="22">
        <v>22.5</v>
      </c>
      <c r="R5" s="22">
        <v>15.3</v>
      </c>
      <c r="S5" s="22">
        <v>211</v>
      </c>
      <c r="T5" s="22">
        <v>4.3899999999999997</v>
      </c>
      <c r="U5" s="22">
        <v>35.200000000000003</v>
      </c>
      <c r="V5" s="22">
        <v>408</v>
      </c>
      <c r="W5" s="22">
        <v>1.77</v>
      </c>
    </row>
    <row r="6" spans="1:23" x14ac:dyDescent="0.3">
      <c r="A6" s="5" t="s">
        <v>23</v>
      </c>
      <c r="B6" s="5">
        <v>2021</v>
      </c>
      <c r="C6" s="25">
        <v>1215</v>
      </c>
      <c r="D6" s="22">
        <v>1464</v>
      </c>
      <c r="E6" s="17" t="s">
        <v>27</v>
      </c>
      <c r="F6" s="18">
        <f>C6/E6</f>
        <v>2.6241900647948162</v>
      </c>
      <c r="G6" s="18">
        <f>D6/E6</f>
        <v>3.161987041036717</v>
      </c>
      <c r="H6" s="22">
        <v>64</v>
      </c>
      <c r="I6" s="22">
        <v>1</v>
      </c>
      <c r="J6" s="22">
        <v>39.1</v>
      </c>
      <c r="K6" s="22">
        <v>572</v>
      </c>
      <c r="L6" s="22">
        <v>1.29</v>
      </c>
      <c r="M6" s="22">
        <v>27.6</v>
      </c>
      <c r="N6" s="22">
        <v>2.9</v>
      </c>
      <c r="O6" s="22">
        <v>42</v>
      </c>
      <c r="P6" s="22">
        <v>1.0900000000000001</v>
      </c>
      <c r="Q6" s="22">
        <v>15.5</v>
      </c>
      <c r="R6" s="22">
        <v>15.2</v>
      </c>
      <c r="S6" s="22">
        <v>222</v>
      </c>
      <c r="T6" s="22">
        <v>3.6</v>
      </c>
      <c r="U6" s="22">
        <v>31.2</v>
      </c>
      <c r="V6" s="22">
        <v>387</v>
      </c>
      <c r="W6" s="22">
        <v>1.61</v>
      </c>
    </row>
    <row r="7" spans="1:23" x14ac:dyDescent="0.3">
      <c r="A7" s="5" t="s">
        <v>23</v>
      </c>
      <c r="B7" s="5">
        <v>2022</v>
      </c>
      <c r="C7" s="25">
        <v>1231</v>
      </c>
      <c r="D7" s="22">
        <v>1593</v>
      </c>
      <c r="E7" s="17" t="s">
        <v>28</v>
      </c>
      <c r="F7" s="18">
        <f t="shared" si="0"/>
        <v>2.5699373695198329</v>
      </c>
      <c r="G7" s="18">
        <v>3.26</v>
      </c>
      <c r="H7" s="22">
        <v>68</v>
      </c>
      <c r="I7" s="22">
        <v>1.01</v>
      </c>
      <c r="J7" s="22">
        <v>42.1</v>
      </c>
      <c r="K7" s="22">
        <v>671</v>
      </c>
      <c r="L7" s="22">
        <v>1.29</v>
      </c>
      <c r="M7" s="22">
        <v>22.2</v>
      </c>
      <c r="N7" s="22">
        <v>4.5999999999999996</v>
      </c>
      <c r="O7" s="22">
        <v>74</v>
      </c>
      <c r="P7" s="22">
        <v>1.2</v>
      </c>
      <c r="Q7" s="22">
        <v>14</v>
      </c>
      <c r="R7" s="22">
        <v>15.8</v>
      </c>
      <c r="S7" s="22">
        <v>251</v>
      </c>
      <c r="T7" s="22">
        <v>3.98</v>
      </c>
      <c r="U7" s="22">
        <v>32.799999999999997</v>
      </c>
      <c r="V7" s="22">
        <v>444</v>
      </c>
      <c r="W7" s="22">
        <v>1.53</v>
      </c>
    </row>
    <row r="8" spans="1:23" x14ac:dyDescent="0.3">
      <c r="A8" s="5" t="s">
        <v>23</v>
      </c>
      <c r="B8" s="5">
        <v>2023</v>
      </c>
      <c r="C8" s="25">
        <v>1061</v>
      </c>
      <c r="D8" s="22">
        <v>1474</v>
      </c>
      <c r="E8" s="17" t="s">
        <v>29</v>
      </c>
      <c r="F8" s="18">
        <f t="shared" si="0"/>
        <v>2.1434343434343432</v>
      </c>
      <c r="G8" s="18">
        <f>D8/E8</f>
        <v>2.9777777777777779</v>
      </c>
      <c r="H8" s="22">
        <v>73</v>
      </c>
      <c r="I8" s="22">
        <v>1.06</v>
      </c>
      <c r="J8" s="22">
        <v>41</v>
      </c>
      <c r="K8" s="22">
        <v>605</v>
      </c>
      <c r="L8" s="22">
        <v>1.4</v>
      </c>
      <c r="M8" s="22">
        <v>18.7</v>
      </c>
      <c r="N8" s="22">
        <v>2.5</v>
      </c>
      <c r="O8" s="22">
        <v>37</v>
      </c>
      <c r="P8" s="22">
        <v>1.08</v>
      </c>
      <c r="Q8" s="22">
        <v>15.8</v>
      </c>
      <c r="R8" s="22">
        <v>18.7</v>
      </c>
      <c r="S8" s="22">
        <v>275</v>
      </c>
      <c r="T8" s="22">
        <v>4.04</v>
      </c>
      <c r="U8" s="22">
        <v>33.200000000000003</v>
      </c>
      <c r="V8" s="22">
        <v>394</v>
      </c>
      <c r="W8" s="22">
        <v>1.74</v>
      </c>
    </row>
    <row r="9" spans="1:23" x14ac:dyDescent="0.3">
      <c r="A9" s="5" t="s">
        <v>23</v>
      </c>
      <c r="B9" s="5">
        <v>2024</v>
      </c>
      <c r="C9" s="25">
        <v>1141</v>
      </c>
      <c r="D9" s="22">
        <v>1543</v>
      </c>
      <c r="E9" s="17" t="s">
        <v>30</v>
      </c>
      <c r="F9" s="18">
        <f t="shared" si="0"/>
        <v>2.3097165991902835</v>
      </c>
      <c r="G9" s="18">
        <f>D9/E9</f>
        <v>3.1234817813765181</v>
      </c>
      <c r="H9" s="22">
        <v>74</v>
      </c>
      <c r="I9" s="22">
        <v>1.07</v>
      </c>
      <c r="J9" s="22">
        <v>43.1</v>
      </c>
      <c r="K9" s="22">
        <v>665</v>
      </c>
      <c r="L9" s="22">
        <v>1.46</v>
      </c>
      <c r="M9" s="22">
        <v>14.8</v>
      </c>
      <c r="N9" s="22">
        <v>2.7</v>
      </c>
      <c r="O9" s="22">
        <v>41</v>
      </c>
      <c r="P9" s="22">
        <v>1.03</v>
      </c>
      <c r="Q9" s="22">
        <v>11.9</v>
      </c>
      <c r="R9" s="22">
        <v>19.600000000000001</v>
      </c>
      <c r="S9" s="22">
        <v>303</v>
      </c>
      <c r="T9" s="22">
        <v>4</v>
      </c>
      <c r="U9" s="22">
        <v>38</v>
      </c>
      <c r="V9" s="22">
        <v>493</v>
      </c>
      <c r="W9" s="22">
        <v>1.69</v>
      </c>
    </row>
    <row r="10" spans="1:23" x14ac:dyDescent="0.3">
      <c r="A10" s="5" t="s">
        <v>23</v>
      </c>
      <c r="B10" s="5">
        <v>2025</v>
      </c>
      <c r="C10" s="25">
        <v>1255</v>
      </c>
      <c r="D10" s="22">
        <v>1752</v>
      </c>
      <c r="E10" s="17" t="s">
        <v>31</v>
      </c>
      <c r="F10" s="18">
        <f t="shared" si="0"/>
        <v>2.5717213114754101</v>
      </c>
      <c r="G10" s="18">
        <f>D10/E10</f>
        <v>3.5901639344262297</v>
      </c>
      <c r="H10" s="22">
        <v>77</v>
      </c>
      <c r="I10" s="22">
        <v>1.45</v>
      </c>
      <c r="J10" s="22">
        <v>42.1</v>
      </c>
      <c r="K10" s="22">
        <v>737</v>
      </c>
      <c r="L10" s="22">
        <v>1.46</v>
      </c>
      <c r="M10" s="22">
        <v>6.8</v>
      </c>
      <c r="N10" s="22">
        <v>2.5</v>
      </c>
      <c r="O10" s="22">
        <v>43</v>
      </c>
      <c r="P10" s="22">
        <v>1.24</v>
      </c>
      <c r="Q10" s="22">
        <v>4.2</v>
      </c>
      <c r="R10" s="22">
        <v>23</v>
      </c>
      <c r="S10" s="22">
        <v>403</v>
      </c>
      <c r="T10" s="22">
        <v>7.51</v>
      </c>
      <c r="U10" s="22">
        <v>43</v>
      </c>
      <c r="V10" s="22">
        <v>654</v>
      </c>
      <c r="W10" s="22">
        <v>1.68</v>
      </c>
    </row>
    <row r="11" spans="1:23" x14ac:dyDescent="0.3">
      <c r="A11" s="5" t="s">
        <v>23</v>
      </c>
      <c r="B11" s="5" t="s">
        <v>32</v>
      </c>
      <c r="C11" s="24">
        <v>9435</v>
      </c>
      <c r="D11" s="22">
        <v>12827</v>
      </c>
      <c r="E11" s="17"/>
      <c r="F11" s="18"/>
      <c r="G11" s="18"/>
      <c r="H11" s="22">
        <v>77</v>
      </c>
      <c r="I11" s="22">
        <v>1.07</v>
      </c>
      <c r="J11" s="22">
        <v>37.700000000000003</v>
      </c>
      <c r="K11" s="22">
        <v>4839</v>
      </c>
      <c r="L11" s="22">
        <v>1.4</v>
      </c>
      <c r="M11" s="22">
        <v>23.9</v>
      </c>
      <c r="N11" s="22">
        <v>2.9</v>
      </c>
      <c r="O11" s="22">
        <v>373</v>
      </c>
      <c r="P11" s="22">
        <v>1.04</v>
      </c>
      <c r="Q11" s="22">
        <v>15.7</v>
      </c>
      <c r="R11" s="22">
        <v>16.600000000000001</v>
      </c>
      <c r="S11" s="22">
        <v>2134</v>
      </c>
      <c r="T11" s="22">
        <v>4.58</v>
      </c>
      <c r="U11" s="22">
        <v>34.799999999999997</v>
      </c>
      <c r="V11" s="22">
        <v>3638</v>
      </c>
      <c r="W11" s="22">
        <v>1.74</v>
      </c>
    </row>
    <row r="12" spans="1:23" x14ac:dyDescent="0.3">
      <c r="A12" s="5" t="s">
        <v>33</v>
      </c>
      <c r="B12" s="5">
        <v>2017</v>
      </c>
      <c r="D12" s="22">
        <v>38386</v>
      </c>
      <c r="H12"/>
      <c r="I12" s="22">
        <v>1.03</v>
      </c>
      <c r="J12" s="22">
        <v>32.1</v>
      </c>
      <c r="K12" s="22">
        <v>12309</v>
      </c>
      <c r="L12" s="22">
        <v>1.67</v>
      </c>
      <c r="M12" s="22">
        <v>43.9</v>
      </c>
      <c r="N12" s="22">
        <v>3.1</v>
      </c>
      <c r="O12" s="22">
        <v>1178</v>
      </c>
      <c r="P12" s="22">
        <v>3.62</v>
      </c>
      <c r="Q12" s="22">
        <v>92.8</v>
      </c>
      <c r="R12" s="22">
        <v>10.4</v>
      </c>
      <c r="S12" s="30">
        <v>4000</v>
      </c>
      <c r="T12" s="22">
        <v>5.77</v>
      </c>
      <c r="U12" s="30">
        <v>33.9</v>
      </c>
      <c r="V12" s="30">
        <v>10354</v>
      </c>
      <c r="W12" s="22">
        <v>1.93</v>
      </c>
    </row>
    <row r="13" spans="1:23" x14ac:dyDescent="0.3">
      <c r="A13" s="5" t="s">
        <v>33</v>
      </c>
      <c r="B13" s="5">
        <v>2018</v>
      </c>
      <c r="D13" s="22">
        <v>37971</v>
      </c>
      <c r="E13" s="17"/>
      <c r="F13" s="18"/>
      <c r="G13" s="18"/>
      <c r="H13" s="29"/>
      <c r="I13" s="22">
        <v>1.0900000000000001</v>
      </c>
      <c r="J13" s="22">
        <v>34.799999999999997</v>
      </c>
      <c r="K13" s="22">
        <v>13195</v>
      </c>
      <c r="L13" s="22">
        <v>1.69</v>
      </c>
      <c r="M13" s="22">
        <v>41.9</v>
      </c>
      <c r="N13" s="22">
        <v>3</v>
      </c>
      <c r="O13" s="22">
        <v>1131</v>
      </c>
      <c r="P13" s="22">
        <v>4.1399999999999997</v>
      </c>
      <c r="Q13" s="22">
        <v>99.6</v>
      </c>
      <c r="R13" s="22">
        <v>11.5</v>
      </c>
      <c r="S13" s="22">
        <v>4354</v>
      </c>
      <c r="T13" s="22">
        <v>5.78</v>
      </c>
      <c r="U13" s="22">
        <v>30.6</v>
      </c>
      <c r="V13" s="22">
        <v>9360</v>
      </c>
      <c r="W13" s="22">
        <v>2.06</v>
      </c>
    </row>
    <row r="14" spans="1:23" x14ac:dyDescent="0.3">
      <c r="A14" s="5" t="s">
        <v>33</v>
      </c>
      <c r="B14" s="5">
        <v>2019</v>
      </c>
      <c r="D14" s="22">
        <v>39282</v>
      </c>
      <c r="E14" s="17"/>
      <c r="F14" s="18"/>
      <c r="G14" s="18"/>
      <c r="H14" s="27"/>
      <c r="I14" s="22">
        <v>1.1200000000000001</v>
      </c>
      <c r="J14" s="22">
        <v>37</v>
      </c>
      <c r="K14" s="22">
        <v>14515</v>
      </c>
      <c r="L14" s="22">
        <v>1.68</v>
      </c>
      <c r="M14" s="22">
        <v>39.299999999999997</v>
      </c>
      <c r="N14" s="22">
        <v>2.8</v>
      </c>
      <c r="O14" s="22">
        <v>1084</v>
      </c>
      <c r="P14" s="22">
        <v>3.19</v>
      </c>
      <c r="Q14" s="22">
        <v>69</v>
      </c>
      <c r="R14" s="22">
        <v>12</v>
      </c>
      <c r="S14" s="22">
        <v>4722</v>
      </c>
      <c r="T14" s="22">
        <v>5.51</v>
      </c>
      <c r="U14" s="22">
        <v>29.1</v>
      </c>
      <c r="V14" s="22">
        <v>9506</v>
      </c>
      <c r="W14" s="22">
        <v>2.09</v>
      </c>
    </row>
    <row r="15" spans="1:23" x14ac:dyDescent="0.3">
      <c r="A15" s="5" t="s">
        <v>33</v>
      </c>
      <c r="B15" s="5">
        <v>2020</v>
      </c>
      <c r="D15" s="22">
        <v>42196</v>
      </c>
      <c r="E15" s="17"/>
      <c r="F15" s="18"/>
      <c r="G15" s="18"/>
      <c r="H15" s="27"/>
      <c r="I15" s="22">
        <v>1.2</v>
      </c>
      <c r="J15" s="22">
        <v>40.9</v>
      </c>
      <c r="K15" s="22">
        <v>17260</v>
      </c>
      <c r="L15" s="22">
        <v>1.81</v>
      </c>
      <c r="M15" s="22">
        <v>40.9</v>
      </c>
      <c r="N15" s="22">
        <v>2.7</v>
      </c>
      <c r="O15" s="22">
        <v>1138</v>
      </c>
      <c r="P15" s="22">
        <v>3.84</v>
      </c>
      <c r="Q15" s="22">
        <v>98.8</v>
      </c>
      <c r="R15" s="22">
        <v>12.7</v>
      </c>
      <c r="S15" s="22">
        <v>5364</v>
      </c>
      <c r="T15" s="22">
        <v>6.04</v>
      </c>
      <c r="U15" s="22">
        <v>30.2</v>
      </c>
      <c r="V15" s="22">
        <v>11123</v>
      </c>
      <c r="W15" s="22">
        <v>2.25</v>
      </c>
    </row>
    <row r="16" spans="1:23" x14ac:dyDescent="0.3">
      <c r="A16" s="5" t="s">
        <v>33</v>
      </c>
      <c r="B16" s="5">
        <v>2021</v>
      </c>
      <c r="D16" s="22">
        <v>46554</v>
      </c>
      <c r="E16" s="17"/>
      <c r="F16" s="18"/>
      <c r="G16" s="18"/>
      <c r="H16" s="27"/>
      <c r="I16" s="22">
        <v>1.1499999999999999</v>
      </c>
      <c r="J16" s="22">
        <v>41.5</v>
      </c>
      <c r="K16" s="22">
        <v>19319</v>
      </c>
      <c r="L16" s="22">
        <v>1.67</v>
      </c>
      <c r="M16" s="22">
        <v>31.8</v>
      </c>
      <c r="N16" s="22">
        <v>2.9</v>
      </c>
      <c r="O16" s="22">
        <v>1359</v>
      </c>
      <c r="P16" s="22">
        <v>2.83</v>
      </c>
      <c r="Q16" s="22">
        <v>52.6</v>
      </c>
      <c r="R16" s="22">
        <v>13</v>
      </c>
      <c r="S16" s="22">
        <v>6030</v>
      </c>
      <c r="T16" s="22">
        <v>5.23</v>
      </c>
      <c r="U16" s="22">
        <v>30.8</v>
      </c>
      <c r="V16" s="22">
        <v>12747</v>
      </c>
      <c r="W16" s="22">
        <v>2.02</v>
      </c>
    </row>
    <row r="17" spans="1:23" x14ac:dyDescent="0.3">
      <c r="A17" s="5" t="s">
        <v>33</v>
      </c>
      <c r="B17" s="5">
        <v>2022</v>
      </c>
      <c r="D17" s="22">
        <v>48206</v>
      </c>
      <c r="E17" s="17"/>
      <c r="F17" s="18"/>
      <c r="G17" s="18"/>
      <c r="H17" s="27"/>
      <c r="I17" s="22">
        <v>1.2</v>
      </c>
      <c r="J17" s="22">
        <v>42.1</v>
      </c>
      <c r="K17" s="22">
        <v>20272</v>
      </c>
      <c r="L17" s="22">
        <v>1.75</v>
      </c>
      <c r="M17" s="22">
        <v>25.8</v>
      </c>
      <c r="N17" s="22">
        <v>3.1</v>
      </c>
      <c r="O17" s="22">
        <v>1518</v>
      </c>
      <c r="P17" s="22">
        <v>3.63</v>
      </c>
      <c r="Q17" s="22">
        <v>47.5</v>
      </c>
      <c r="R17" s="22">
        <v>13</v>
      </c>
      <c r="S17" s="22">
        <v>6286</v>
      </c>
      <c r="T17" s="22">
        <v>5.62</v>
      </c>
      <c r="U17" s="22">
        <v>28.5</v>
      </c>
      <c r="V17" s="22">
        <v>12331</v>
      </c>
      <c r="W17" s="22">
        <v>2.19</v>
      </c>
    </row>
    <row r="18" spans="1:23" x14ac:dyDescent="0.3">
      <c r="A18" s="5" t="s">
        <v>33</v>
      </c>
      <c r="B18" s="5">
        <v>2023</v>
      </c>
      <c r="D18" s="22">
        <v>45267</v>
      </c>
      <c r="E18" s="17"/>
      <c r="F18" s="18"/>
      <c r="G18" s="18"/>
      <c r="H18" s="27"/>
      <c r="I18" s="22">
        <v>1.22</v>
      </c>
      <c r="J18" s="22">
        <v>42.1</v>
      </c>
      <c r="K18" s="22">
        <v>19068</v>
      </c>
      <c r="L18" s="22">
        <v>1.74</v>
      </c>
      <c r="M18" s="22">
        <v>19.5</v>
      </c>
      <c r="N18" s="22">
        <v>3.3</v>
      </c>
      <c r="O18" s="22">
        <v>1488</v>
      </c>
      <c r="P18" s="22">
        <v>3.41</v>
      </c>
      <c r="Q18" s="22">
        <v>30.8</v>
      </c>
      <c r="R18" s="22">
        <v>13.5</v>
      </c>
      <c r="S18" s="22">
        <v>6103</v>
      </c>
      <c r="T18" s="22">
        <v>5.7</v>
      </c>
      <c r="U18" s="22">
        <v>33</v>
      </c>
      <c r="V18" s="22">
        <v>12986</v>
      </c>
      <c r="W18" s="22">
        <v>2.21</v>
      </c>
    </row>
    <row r="19" spans="1:23" x14ac:dyDescent="0.3">
      <c r="A19" s="5" t="s">
        <v>33</v>
      </c>
      <c r="B19" s="5">
        <v>2024</v>
      </c>
      <c r="D19" s="22">
        <v>46126</v>
      </c>
      <c r="E19" s="17"/>
      <c r="F19" s="18"/>
      <c r="G19" s="18"/>
      <c r="H19" s="27"/>
      <c r="I19" s="22">
        <v>1.27</v>
      </c>
      <c r="J19" s="22">
        <v>43.2</v>
      </c>
      <c r="K19" s="22">
        <v>19920</v>
      </c>
      <c r="L19" s="22">
        <v>1.86</v>
      </c>
      <c r="M19" s="22">
        <v>13.7</v>
      </c>
      <c r="N19" s="22">
        <v>3.5</v>
      </c>
      <c r="O19" s="22">
        <v>1619</v>
      </c>
      <c r="P19" s="22">
        <v>5.46</v>
      </c>
      <c r="Q19" s="22">
        <v>32</v>
      </c>
      <c r="R19" s="22">
        <v>13.4</v>
      </c>
      <c r="S19" s="22">
        <v>6170</v>
      </c>
      <c r="T19" s="22">
        <v>6.25</v>
      </c>
      <c r="U19" s="22">
        <v>33.299999999999997</v>
      </c>
      <c r="V19" s="22">
        <v>13696</v>
      </c>
      <c r="W19" s="22">
        <v>2.2999999999999998</v>
      </c>
    </row>
    <row r="20" spans="1:23" x14ac:dyDescent="0.3">
      <c r="A20" s="5" t="s">
        <v>33</v>
      </c>
      <c r="B20" s="5">
        <v>2025</v>
      </c>
      <c r="D20" s="22">
        <v>49813</v>
      </c>
      <c r="E20" s="17"/>
      <c r="H20" s="27"/>
      <c r="I20" s="22">
        <v>1.25</v>
      </c>
      <c r="J20" s="22">
        <v>43.9</v>
      </c>
      <c r="K20" s="22">
        <v>21864</v>
      </c>
      <c r="L20" s="22">
        <v>1.74</v>
      </c>
      <c r="M20" s="22">
        <v>5.5</v>
      </c>
      <c r="N20" s="22">
        <v>3.5</v>
      </c>
      <c r="O20" s="22">
        <v>1753</v>
      </c>
      <c r="P20" s="22">
        <v>3.96</v>
      </c>
      <c r="Q20" s="22">
        <v>9.5</v>
      </c>
      <c r="R20" s="22">
        <v>14.2</v>
      </c>
      <c r="S20" s="22">
        <v>7073</v>
      </c>
      <c r="T20" s="22">
        <v>6.52</v>
      </c>
      <c r="U20" s="22">
        <v>33.9</v>
      </c>
      <c r="V20" s="22">
        <v>15260</v>
      </c>
      <c r="W20" s="22">
        <v>2.09</v>
      </c>
    </row>
    <row r="21" spans="1:23" x14ac:dyDescent="0.3">
      <c r="A21" s="5" t="s">
        <v>33</v>
      </c>
      <c r="B21" s="5" t="s">
        <v>32</v>
      </c>
      <c r="D21" s="22">
        <v>393801</v>
      </c>
      <c r="E21" s="17"/>
      <c r="F21" s="18"/>
      <c r="G21" s="18"/>
      <c r="H21" s="27"/>
      <c r="I21" s="22">
        <v>1.18</v>
      </c>
      <c r="J21" s="22">
        <v>40.1</v>
      </c>
      <c r="K21" s="22">
        <v>157722</v>
      </c>
      <c r="L21" s="22">
        <v>1.74</v>
      </c>
      <c r="M21" s="22">
        <v>27.1</v>
      </c>
      <c r="N21" s="22">
        <v>3.1</v>
      </c>
      <c r="O21" s="22">
        <v>12268</v>
      </c>
      <c r="P21" s="22">
        <v>3.83</v>
      </c>
      <c r="Q21" s="22">
        <v>54.4</v>
      </c>
      <c r="R21" s="22">
        <v>12.7</v>
      </c>
      <c r="S21" s="22">
        <v>50102</v>
      </c>
      <c r="T21" s="22">
        <v>5.84</v>
      </c>
      <c r="U21" s="22">
        <v>31.5</v>
      </c>
      <c r="V21" s="22">
        <v>107363</v>
      </c>
      <c r="W21" s="22">
        <v>2.13</v>
      </c>
    </row>
    <row r="22" spans="1:23" hidden="1" x14ac:dyDescent="0.3">
      <c r="A22" s="5" t="s">
        <v>34</v>
      </c>
      <c r="B22" s="5">
        <v>2017</v>
      </c>
      <c r="C22" s="24">
        <v>150</v>
      </c>
      <c r="D22" s="22">
        <v>232</v>
      </c>
      <c r="E22" s="12">
        <v>329</v>
      </c>
      <c r="F22" s="18">
        <f t="shared" ref="F22:F30" si="1">C22/E22</f>
        <v>0.45592705167173253</v>
      </c>
      <c r="G22" s="18">
        <f t="shared" ref="G22:G30" si="2">D22/E22</f>
        <v>0.70516717325227962</v>
      </c>
      <c r="H22" s="22">
        <v>24</v>
      </c>
      <c r="I22" s="22">
        <v>0.72</v>
      </c>
      <c r="J22" s="22">
        <v>15.1</v>
      </c>
      <c r="K22" s="22">
        <v>35</v>
      </c>
      <c r="L22" s="22">
        <v>1.63</v>
      </c>
      <c r="M22" s="22">
        <v>37.700000000000003</v>
      </c>
      <c r="N22" s="22">
        <v>0.4</v>
      </c>
      <c r="O22" s="22">
        <v>1</v>
      </c>
      <c r="P22" s="22">
        <v>0.26</v>
      </c>
      <c r="Q22" s="22">
        <v>10</v>
      </c>
      <c r="R22" s="22">
        <v>6</v>
      </c>
      <c r="S22" s="22">
        <v>14</v>
      </c>
      <c r="T22" s="22">
        <v>5.81</v>
      </c>
      <c r="U22" s="30">
        <v>19.3</v>
      </c>
      <c r="V22" s="30">
        <v>35</v>
      </c>
      <c r="W22" s="22">
        <v>1.81</v>
      </c>
    </row>
    <row r="23" spans="1:23" hidden="1" x14ac:dyDescent="0.3">
      <c r="A23" s="5" t="s">
        <v>34</v>
      </c>
      <c r="B23" s="5">
        <v>2018</v>
      </c>
      <c r="C23" s="25">
        <v>162</v>
      </c>
      <c r="D23" s="22">
        <v>270</v>
      </c>
      <c r="E23" s="17" t="s">
        <v>35</v>
      </c>
      <c r="F23" s="18">
        <f t="shared" si="1"/>
        <v>0.4835820895522388</v>
      </c>
      <c r="G23" s="18">
        <f t="shared" si="2"/>
        <v>0.80597014925373134</v>
      </c>
      <c r="H23" s="22">
        <v>27</v>
      </c>
      <c r="I23" s="22">
        <v>0.61</v>
      </c>
      <c r="J23" s="22">
        <v>12.2</v>
      </c>
      <c r="K23" s="22">
        <v>33</v>
      </c>
      <c r="L23" s="22">
        <v>0.54</v>
      </c>
      <c r="M23" s="22">
        <v>10.6</v>
      </c>
      <c r="N23" s="22">
        <v>0</v>
      </c>
      <c r="O23" s="22">
        <v>0</v>
      </c>
      <c r="P23" s="22" t="s">
        <v>36</v>
      </c>
      <c r="Q23" s="22" t="s">
        <v>36</v>
      </c>
      <c r="R23" s="22">
        <v>5.6</v>
      </c>
      <c r="S23" s="22">
        <v>15</v>
      </c>
      <c r="T23" s="22">
        <v>4.13</v>
      </c>
      <c r="U23" s="22">
        <v>11.5</v>
      </c>
      <c r="V23" s="22">
        <v>22</v>
      </c>
      <c r="W23" s="22">
        <v>1.58</v>
      </c>
    </row>
    <row r="24" spans="1:23" hidden="1" x14ac:dyDescent="0.3">
      <c r="A24" s="5" t="s">
        <v>34</v>
      </c>
      <c r="B24" s="5">
        <v>2019</v>
      </c>
      <c r="C24" s="25">
        <v>143</v>
      </c>
      <c r="D24" s="22">
        <v>244</v>
      </c>
      <c r="E24" s="17" t="s">
        <v>37</v>
      </c>
      <c r="F24" s="18">
        <f t="shared" si="1"/>
        <v>0.41812865497076024</v>
      </c>
      <c r="G24" s="18">
        <f t="shared" si="2"/>
        <v>0.71345029239766078</v>
      </c>
      <c r="H24" s="22">
        <v>28</v>
      </c>
      <c r="I24" s="22">
        <v>0.48</v>
      </c>
      <c r="J24" s="22">
        <v>16.399999999999999</v>
      </c>
      <c r="K24" s="22">
        <v>40</v>
      </c>
      <c r="L24" s="22">
        <v>0.52</v>
      </c>
      <c r="M24" s="22">
        <v>11.6</v>
      </c>
      <c r="N24" s="22">
        <v>0.8</v>
      </c>
      <c r="O24" s="22">
        <v>2</v>
      </c>
      <c r="P24" s="22">
        <v>0.1</v>
      </c>
      <c r="Q24" s="22">
        <v>1</v>
      </c>
      <c r="R24" s="22">
        <v>4.0999999999999996</v>
      </c>
      <c r="S24" s="22">
        <v>10</v>
      </c>
      <c r="T24" s="22">
        <v>3.57</v>
      </c>
      <c r="U24" s="22">
        <v>14.5</v>
      </c>
      <c r="V24" s="22">
        <v>25</v>
      </c>
      <c r="W24" s="22">
        <v>1.18</v>
      </c>
    </row>
    <row r="25" spans="1:23" hidden="1" x14ac:dyDescent="0.3">
      <c r="A25" s="5" t="s">
        <v>34</v>
      </c>
      <c r="B25" s="5">
        <v>2020</v>
      </c>
      <c r="C25" s="25">
        <v>193</v>
      </c>
      <c r="D25" s="22">
        <v>252</v>
      </c>
      <c r="E25" s="17" t="s">
        <v>38</v>
      </c>
      <c r="F25" s="18">
        <f t="shared" si="1"/>
        <v>0.55619596541786742</v>
      </c>
      <c r="G25" s="18">
        <f t="shared" si="2"/>
        <v>0.72622478386167144</v>
      </c>
      <c r="H25" s="22">
        <v>27</v>
      </c>
      <c r="I25" s="22">
        <v>0.62</v>
      </c>
      <c r="J25" s="22">
        <v>21</v>
      </c>
      <c r="K25" s="22">
        <v>53</v>
      </c>
      <c r="L25" s="22">
        <v>0.63</v>
      </c>
      <c r="M25" s="22">
        <v>18.7</v>
      </c>
      <c r="N25" s="22">
        <v>0.4</v>
      </c>
      <c r="O25" s="22">
        <v>1</v>
      </c>
      <c r="P25" s="22">
        <v>0.04</v>
      </c>
      <c r="Q25" s="22">
        <v>2</v>
      </c>
      <c r="R25" s="22">
        <v>5.6</v>
      </c>
      <c r="S25" s="22">
        <v>14</v>
      </c>
      <c r="T25" s="22">
        <v>3.77</v>
      </c>
      <c r="U25" s="22">
        <v>15.4</v>
      </c>
      <c r="V25" s="22">
        <v>31</v>
      </c>
      <c r="W25" s="22">
        <v>1.1599999999999999</v>
      </c>
    </row>
    <row r="26" spans="1:23" hidden="1" x14ac:dyDescent="0.3">
      <c r="A26" s="5" t="s">
        <v>34</v>
      </c>
      <c r="B26" s="5">
        <v>2021</v>
      </c>
      <c r="C26" s="25">
        <v>197</v>
      </c>
      <c r="D26" s="22">
        <v>251</v>
      </c>
      <c r="E26" s="17" t="s">
        <v>39</v>
      </c>
      <c r="F26" s="18">
        <f t="shared" si="1"/>
        <v>0.5644699140401146</v>
      </c>
      <c r="G26" s="18">
        <f t="shared" si="2"/>
        <v>0.71919770773638969</v>
      </c>
      <c r="H26" s="22">
        <v>28</v>
      </c>
      <c r="I26" s="22">
        <v>0.8</v>
      </c>
      <c r="J26" s="22">
        <v>17.100000000000001</v>
      </c>
      <c r="K26" s="22">
        <v>43</v>
      </c>
      <c r="L26" s="22">
        <v>1.76</v>
      </c>
      <c r="M26" s="22">
        <v>30.6</v>
      </c>
      <c r="N26" s="22">
        <v>1.6</v>
      </c>
      <c r="O26" s="22">
        <v>4</v>
      </c>
      <c r="P26" s="22">
        <v>6.28</v>
      </c>
      <c r="Q26" s="22">
        <v>98.3</v>
      </c>
      <c r="R26" s="22">
        <v>4</v>
      </c>
      <c r="S26" s="22">
        <v>10</v>
      </c>
      <c r="T26" s="22">
        <v>7.8</v>
      </c>
      <c r="U26" s="22">
        <v>15.5</v>
      </c>
      <c r="V26" s="22">
        <v>30</v>
      </c>
      <c r="W26" s="22">
        <v>1.18</v>
      </c>
    </row>
    <row r="27" spans="1:23" hidden="1" x14ac:dyDescent="0.3">
      <c r="A27" s="5" t="s">
        <v>34</v>
      </c>
      <c r="B27" s="5">
        <v>2022</v>
      </c>
      <c r="C27" s="25">
        <v>214</v>
      </c>
      <c r="D27" s="22">
        <v>288</v>
      </c>
      <c r="E27" s="17" t="s">
        <v>40</v>
      </c>
      <c r="F27" s="18">
        <f t="shared" si="1"/>
        <v>0.60623229461756378</v>
      </c>
      <c r="G27" s="18">
        <f t="shared" si="2"/>
        <v>0.81586402266288949</v>
      </c>
      <c r="H27" s="22">
        <v>28</v>
      </c>
      <c r="I27" s="22">
        <v>0.65</v>
      </c>
      <c r="J27" s="22">
        <v>18.100000000000001</v>
      </c>
      <c r="K27" s="22">
        <v>52</v>
      </c>
      <c r="L27" s="22">
        <v>0.96</v>
      </c>
      <c r="M27" s="22">
        <v>12.4</v>
      </c>
      <c r="N27" s="22">
        <v>1.4</v>
      </c>
      <c r="O27" s="22">
        <v>4</v>
      </c>
      <c r="P27" s="22">
        <v>0.87</v>
      </c>
      <c r="Q27" s="22">
        <v>15</v>
      </c>
      <c r="R27" s="22">
        <v>6.6</v>
      </c>
      <c r="S27" s="22">
        <v>19</v>
      </c>
      <c r="T27" s="22">
        <v>4.5999999999999996</v>
      </c>
      <c r="U27" s="22">
        <v>18</v>
      </c>
      <c r="V27" s="22">
        <v>39</v>
      </c>
      <c r="W27" s="22">
        <v>0.97</v>
      </c>
    </row>
    <row r="28" spans="1:23" hidden="1" x14ac:dyDescent="0.3">
      <c r="A28" s="5" t="s">
        <v>34</v>
      </c>
      <c r="B28" s="5">
        <v>2023</v>
      </c>
      <c r="C28" s="25">
        <v>163</v>
      </c>
      <c r="D28" s="22">
        <v>301</v>
      </c>
      <c r="E28" s="17" t="s">
        <v>41</v>
      </c>
      <c r="F28" s="18">
        <f t="shared" si="1"/>
        <v>0.43817204301075269</v>
      </c>
      <c r="G28" s="18">
        <f t="shared" si="2"/>
        <v>0.80913978494623651</v>
      </c>
      <c r="H28" s="22">
        <v>26</v>
      </c>
      <c r="I28" s="22">
        <v>0.55000000000000004</v>
      </c>
      <c r="J28" s="22">
        <v>15.9</v>
      </c>
      <c r="K28" s="22">
        <v>48</v>
      </c>
      <c r="L28" s="22">
        <v>0.84</v>
      </c>
      <c r="M28" s="22">
        <v>9.4</v>
      </c>
      <c r="N28" s="22">
        <v>3.7</v>
      </c>
      <c r="O28" s="22">
        <v>11</v>
      </c>
      <c r="P28" s="22">
        <v>0.59</v>
      </c>
      <c r="Q28" s="22">
        <v>6.7</v>
      </c>
      <c r="R28" s="22">
        <v>4</v>
      </c>
      <c r="S28" s="22">
        <v>12</v>
      </c>
      <c r="T28" s="22">
        <v>3.49</v>
      </c>
      <c r="U28" s="22">
        <v>16.899999999999999</v>
      </c>
      <c r="V28" s="22">
        <v>37</v>
      </c>
      <c r="W28" s="22">
        <v>1.1200000000000001</v>
      </c>
    </row>
    <row r="29" spans="1:23" hidden="1" x14ac:dyDescent="0.3">
      <c r="A29" s="5" t="s">
        <v>34</v>
      </c>
      <c r="B29" s="5">
        <v>2024</v>
      </c>
      <c r="C29" s="25">
        <v>195</v>
      </c>
      <c r="D29" s="22">
        <v>298</v>
      </c>
      <c r="E29" s="17" t="s">
        <v>42</v>
      </c>
      <c r="F29" s="18">
        <f t="shared" si="1"/>
        <v>0.5357142857142857</v>
      </c>
      <c r="G29" s="18">
        <f t="shared" si="2"/>
        <v>0.81868131868131866</v>
      </c>
      <c r="H29" s="22">
        <v>28</v>
      </c>
      <c r="I29" s="22">
        <v>0.65</v>
      </c>
      <c r="J29" s="22">
        <v>18.8</v>
      </c>
      <c r="K29" s="22">
        <v>56</v>
      </c>
      <c r="L29" s="22">
        <v>0.75</v>
      </c>
      <c r="M29" s="22">
        <v>4.2</v>
      </c>
      <c r="N29" s="22">
        <v>3.4</v>
      </c>
      <c r="O29" s="22">
        <v>10</v>
      </c>
      <c r="P29" s="22">
        <v>0.92</v>
      </c>
      <c r="Q29" s="22">
        <v>8.5</v>
      </c>
      <c r="R29" s="22">
        <v>5.4</v>
      </c>
      <c r="S29" s="22">
        <v>16</v>
      </c>
      <c r="T29" s="22">
        <v>3.63</v>
      </c>
      <c r="U29" s="22">
        <v>19.399999999999999</v>
      </c>
      <c r="V29" s="22">
        <v>44</v>
      </c>
      <c r="W29" s="22">
        <v>1.23</v>
      </c>
    </row>
    <row r="30" spans="1:23" hidden="1" x14ac:dyDescent="0.3">
      <c r="A30" s="5" t="s">
        <v>34</v>
      </c>
      <c r="B30" s="5">
        <v>2025</v>
      </c>
      <c r="C30" s="25">
        <v>214</v>
      </c>
      <c r="D30" s="22">
        <v>370</v>
      </c>
      <c r="E30" s="17" t="s">
        <v>43</v>
      </c>
      <c r="F30" s="18">
        <f t="shared" si="1"/>
        <v>0.58469945355191255</v>
      </c>
      <c r="G30" s="18">
        <f t="shared" si="2"/>
        <v>1.0109289617486339</v>
      </c>
      <c r="H30" s="22">
        <v>29</v>
      </c>
      <c r="I30" s="22">
        <v>0.56999999999999995</v>
      </c>
      <c r="J30" s="22">
        <v>23.2</v>
      </c>
      <c r="K30" s="22">
        <v>86</v>
      </c>
      <c r="L30" s="22">
        <v>0.92</v>
      </c>
      <c r="M30" s="22">
        <v>2.5</v>
      </c>
      <c r="N30" s="22">
        <v>2.2000000000000002</v>
      </c>
      <c r="O30" s="22">
        <v>8</v>
      </c>
      <c r="P30" s="22">
        <v>0.53</v>
      </c>
      <c r="Q30" s="22">
        <v>2.6</v>
      </c>
      <c r="R30" s="22">
        <v>7.8</v>
      </c>
      <c r="S30" s="22">
        <v>29</v>
      </c>
      <c r="T30" s="22">
        <v>4.9000000000000004</v>
      </c>
      <c r="U30" s="22">
        <v>20.6</v>
      </c>
      <c r="V30" s="22">
        <v>64</v>
      </c>
      <c r="W30" s="22">
        <v>1.06</v>
      </c>
    </row>
    <row r="31" spans="1:23" hidden="1" x14ac:dyDescent="0.3">
      <c r="A31" s="5" t="s">
        <v>34</v>
      </c>
      <c r="B31" s="5" t="s">
        <v>32</v>
      </c>
      <c r="C31" s="24">
        <v>1631</v>
      </c>
      <c r="D31" s="22">
        <v>2506</v>
      </c>
      <c r="E31" s="17"/>
      <c r="F31" s="18"/>
      <c r="G31" s="18"/>
      <c r="H31" s="22">
        <v>29</v>
      </c>
      <c r="I31" s="22">
        <v>0.62</v>
      </c>
      <c r="J31" s="22">
        <v>17.8</v>
      </c>
      <c r="K31" s="22">
        <v>446</v>
      </c>
      <c r="L31" s="22">
        <v>0.93</v>
      </c>
      <c r="M31" s="22">
        <v>13.4</v>
      </c>
      <c r="N31" s="22">
        <v>1.6</v>
      </c>
      <c r="O31" s="22">
        <v>41</v>
      </c>
      <c r="P31" s="22">
        <v>1.2</v>
      </c>
      <c r="Q31" s="22">
        <v>15.8</v>
      </c>
      <c r="R31" s="22">
        <v>5.5</v>
      </c>
      <c r="S31" s="22">
        <v>139</v>
      </c>
      <c r="T31" s="22">
        <v>4.5999999999999996</v>
      </c>
      <c r="U31" s="22">
        <v>17.100000000000001</v>
      </c>
      <c r="V31" s="22">
        <v>327</v>
      </c>
      <c r="W31" s="22">
        <v>1.22</v>
      </c>
    </row>
    <row r="32" spans="1:23" hidden="1" x14ac:dyDescent="0.3">
      <c r="A32" s="5" t="s">
        <v>44</v>
      </c>
      <c r="B32" s="5">
        <v>2017</v>
      </c>
      <c r="C32" s="24">
        <v>220</v>
      </c>
      <c r="D32" s="22">
        <v>267</v>
      </c>
      <c r="E32" s="12">
        <v>398</v>
      </c>
      <c r="F32" s="18">
        <f t="shared" ref="F32:F40" si="3">C32/E32</f>
        <v>0.55276381909547734</v>
      </c>
      <c r="G32" s="18">
        <f t="shared" ref="G32:G40" si="4">D32/E32</f>
        <v>0.67085427135678388</v>
      </c>
      <c r="H32" s="22">
        <v>26</v>
      </c>
      <c r="I32" s="22">
        <v>0.76</v>
      </c>
      <c r="J32" s="22">
        <v>22.1</v>
      </c>
      <c r="K32" s="22">
        <v>59</v>
      </c>
      <c r="L32" s="22">
        <v>0.77</v>
      </c>
      <c r="M32" s="22">
        <v>27.3</v>
      </c>
      <c r="N32" s="22">
        <v>1.1000000000000001</v>
      </c>
      <c r="O32" s="22">
        <v>3</v>
      </c>
      <c r="P32" s="22">
        <v>0.95</v>
      </c>
      <c r="Q32" s="22">
        <v>18.3</v>
      </c>
      <c r="R32" s="22">
        <v>9.4</v>
      </c>
      <c r="S32" s="30">
        <v>25</v>
      </c>
      <c r="T32" s="22">
        <v>3.94</v>
      </c>
      <c r="U32" s="30">
        <v>23.9</v>
      </c>
      <c r="V32" s="30">
        <v>57</v>
      </c>
      <c r="W32" s="22">
        <v>1.4</v>
      </c>
    </row>
    <row r="33" spans="1:23" hidden="1" x14ac:dyDescent="0.3">
      <c r="A33" s="5" t="s">
        <v>44</v>
      </c>
      <c r="B33" s="5">
        <v>2018</v>
      </c>
      <c r="C33" s="25">
        <v>205</v>
      </c>
      <c r="D33" s="22">
        <v>268</v>
      </c>
      <c r="E33" s="17" t="s">
        <v>45</v>
      </c>
      <c r="F33" s="18">
        <f t="shared" si="3"/>
        <v>0.49878345498783455</v>
      </c>
      <c r="G33" s="18">
        <f t="shared" si="4"/>
        <v>0.65206812652068125</v>
      </c>
      <c r="H33" s="22">
        <v>24</v>
      </c>
      <c r="I33" s="22">
        <v>0.79</v>
      </c>
      <c r="J33" s="22">
        <v>28.4</v>
      </c>
      <c r="K33" s="22">
        <v>76</v>
      </c>
      <c r="L33" s="22">
        <v>0.87</v>
      </c>
      <c r="M33" s="22">
        <v>23.3</v>
      </c>
      <c r="N33" s="22">
        <v>1.9</v>
      </c>
      <c r="O33" s="22">
        <v>5</v>
      </c>
      <c r="P33" s="22">
        <v>0.22</v>
      </c>
      <c r="Q33" s="22">
        <v>8</v>
      </c>
      <c r="R33" s="22">
        <v>11.6</v>
      </c>
      <c r="S33" s="22">
        <v>31</v>
      </c>
      <c r="T33" s="22">
        <v>3.67</v>
      </c>
      <c r="U33" s="22">
        <v>22</v>
      </c>
      <c r="V33" s="22">
        <v>51</v>
      </c>
      <c r="W33" s="22">
        <v>1.38</v>
      </c>
    </row>
    <row r="34" spans="1:23" hidden="1" x14ac:dyDescent="0.3">
      <c r="A34" s="5" t="s">
        <v>44</v>
      </c>
      <c r="B34" s="5">
        <v>2019</v>
      </c>
      <c r="C34" s="25">
        <v>279</v>
      </c>
      <c r="D34" s="22">
        <v>347</v>
      </c>
      <c r="E34" s="17" t="s">
        <v>46</v>
      </c>
      <c r="F34" s="18">
        <f t="shared" si="3"/>
        <v>0.69059405940594054</v>
      </c>
      <c r="G34" s="18">
        <f t="shared" si="4"/>
        <v>0.8589108910891089</v>
      </c>
      <c r="H34" s="22">
        <v>27</v>
      </c>
      <c r="I34" s="22">
        <v>0.95</v>
      </c>
      <c r="J34" s="22">
        <v>31.7</v>
      </c>
      <c r="K34" s="22">
        <v>110</v>
      </c>
      <c r="L34" s="22">
        <v>1.21</v>
      </c>
      <c r="M34" s="22">
        <v>28.3</v>
      </c>
      <c r="N34" s="22">
        <v>0.3</v>
      </c>
      <c r="O34" s="22">
        <v>1</v>
      </c>
      <c r="P34" s="22">
        <v>0</v>
      </c>
      <c r="Q34" s="22" t="s">
        <v>36</v>
      </c>
      <c r="R34" s="22">
        <v>12.4</v>
      </c>
      <c r="S34" s="22">
        <v>43</v>
      </c>
      <c r="T34" s="22">
        <v>4.29</v>
      </c>
      <c r="U34" s="22">
        <v>20.100000000000001</v>
      </c>
      <c r="V34" s="22">
        <v>61</v>
      </c>
      <c r="W34" s="22">
        <v>1.66</v>
      </c>
    </row>
    <row r="35" spans="1:23" hidden="1" x14ac:dyDescent="0.3">
      <c r="A35" s="5" t="s">
        <v>44</v>
      </c>
      <c r="B35" s="5">
        <v>2020</v>
      </c>
      <c r="C35" s="25">
        <v>291</v>
      </c>
      <c r="D35" s="22">
        <v>351</v>
      </c>
      <c r="E35" s="17" t="s">
        <v>47</v>
      </c>
      <c r="F35" s="18">
        <f t="shared" si="3"/>
        <v>0.67205542725173206</v>
      </c>
      <c r="G35" s="18">
        <f t="shared" si="4"/>
        <v>0.81062355658198615</v>
      </c>
      <c r="H35" s="22">
        <v>31</v>
      </c>
      <c r="I35" s="22">
        <v>0.93</v>
      </c>
      <c r="J35" s="22">
        <v>32.799999999999997</v>
      </c>
      <c r="K35" s="22">
        <v>115</v>
      </c>
      <c r="L35" s="22">
        <v>0.99</v>
      </c>
      <c r="M35" s="22">
        <v>24.1</v>
      </c>
      <c r="N35" s="22">
        <v>0</v>
      </c>
      <c r="O35" s="22">
        <v>0</v>
      </c>
      <c r="P35" s="22" t="s">
        <v>36</v>
      </c>
      <c r="Q35" s="22" t="s">
        <v>36</v>
      </c>
      <c r="R35" s="22">
        <v>10.8</v>
      </c>
      <c r="S35" s="22">
        <v>38</v>
      </c>
      <c r="T35" s="22">
        <v>4.8</v>
      </c>
      <c r="U35" s="22">
        <v>23.7</v>
      </c>
      <c r="V35" s="22">
        <v>77</v>
      </c>
      <c r="W35" s="22">
        <v>1.57</v>
      </c>
    </row>
    <row r="36" spans="1:23" hidden="1" x14ac:dyDescent="0.3">
      <c r="A36" s="5" t="s">
        <v>44</v>
      </c>
      <c r="B36" s="5">
        <v>2021</v>
      </c>
      <c r="C36" s="25">
        <v>440</v>
      </c>
      <c r="D36" s="22">
        <v>453</v>
      </c>
      <c r="E36" s="17" t="s">
        <v>48</v>
      </c>
      <c r="F36" s="18">
        <f t="shared" si="3"/>
        <v>1.0918114143920596</v>
      </c>
      <c r="G36" s="18">
        <f t="shared" si="4"/>
        <v>1.1240694789081886</v>
      </c>
      <c r="H36" s="22">
        <v>35</v>
      </c>
      <c r="I36" s="22">
        <v>0.84</v>
      </c>
      <c r="J36" s="22">
        <v>36.9</v>
      </c>
      <c r="K36" s="22">
        <v>167</v>
      </c>
      <c r="L36" s="22">
        <v>0.98</v>
      </c>
      <c r="M36" s="22">
        <v>19.7</v>
      </c>
      <c r="N36" s="22">
        <v>0.9</v>
      </c>
      <c r="O36" s="22">
        <v>4</v>
      </c>
      <c r="P36" s="22">
        <v>0.51</v>
      </c>
      <c r="Q36" s="22">
        <v>7</v>
      </c>
      <c r="R36" s="22">
        <v>11.5</v>
      </c>
      <c r="S36" s="22">
        <v>52</v>
      </c>
      <c r="T36" s="22">
        <v>3.26</v>
      </c>
      <c r="U36" s="22">
        <v>20.100000000000001</v>
      </c>
      <c r="V36" s="22">
        <v>90</v>
      </c>
      <c r="W36" s="22">
        <v>1.5</v>
      </c>
    </row>
    <row r="37" spans="1:23" hidden="1" x14ac:dyDescent="0.3">
      <c r="A37" s="5" t="s">
        <v>44</v>
      </c>
      <c r="B37" s="5">
        <v>2022</v>
      </c>
      <c r="C37" s="25">
        <v>450</v>
      </c>
      <c r="D37" s="22">
        <v>522</v>
      </c>
      <c r="E37" s="17" t="s">
        <v>47</v>
      </c>
      <c r="F37" s="18">
        <f t="shared" si="3"/>
        <v>1.0392609699769053</v>
      </c>
      <c r="G37" s="18">
        <f t="shared" si="4"/>
        <v>1.2055427251732103</v>
      </c>
      <c r="H37" s="22">
        <v>38</v>
      </c>
      <c r="I37" s="22">
        <v>1.01</v>
      </c>
      <c r="J37" s="22">
        <v>37.700000000000003</v>
      </c>
      <c r="K37" s="22">
        <v>197</v>
      </c>
      <c r="L37" s="22">
        <v>1.1100000000000001</v>
      </c>
      <c r="M37" s="22">
        <v>18.7</v>
      </c>
      <c r="N37" s="22">
        <v>1</v>
      </c>
      <c r="O37" s="22">
        <v>5</v>
      </c>
      <c r="P37" s="22">
        <v>0.99</v>
      </c>
      <c r="Q37" s="22">
        <v>13.4</v>
      </c>
      <c r="R37" s="22">
        <v>11.5</v>
      </c>
      <c r="S37" s="22">
        <v>60</v>
      </c>
      <c r="T37" s="22">
        <v>3.74</v>
      </c>
      <c r="U37" s="22">
        <v>19.399999999999999</v>
      </c>
      <c r="V37" s="22">
        <v>95</v>
      </c>
      <c r="W37" s="22">
        <v>1.63</v>
      </c>
    </row>
    <row r="38" spans="1:23" hidden="1" x14ac:dyDescent="0.3">
      <c r="A38" s="5" t="s">
        <v>44</v>
      </c>
      <c r="B38" s="5">
        <v>2023</v>
      </c>
      <c r="C38" s="25">
        <v>408</v>
      </c>
      <c r="D38" s="22">
        <v>483</v>
      </c>
      <c r="E38" s="17" t="s">
        <v>49</v>
      </c>
      <c r="F38" s="18">
        <f t="shared" si="3"/>
        <v>0.91685393258426962</v>
      </c>
      <c r="G38" s="18">
        <f t="shared" si="4"/>
        <v>1.0853932584269663</v>
      </c>
      <c r="H38" s="22">
        <v>40</v>
      </c>
      <c r="I38" s="22">
        <v>0.91</v>
      </c>
      <c r="J38" s="22">
        <v>36.6</v>
      </c>
      <c r="K38" s="22">
        <v>177</v>
      </c>
      <c r="L38" s="22">
        <v>1.06</v>
      </c>
      <c r="M38" s="22">
        <v>12.5</v>
      </c>
      <c r="N38" s="22">
        <v>0.4</v>
      </c>
      <c r="O38" s="22">
        <v>2</v>
      </c>
      <c r="P38" s="22">
        <v>1.22</v>
      </c>
      <c r="Q38" s="22">
        <v>13</v>
      </c>
      <c r="R38" s="22">
        <v>9.1</v>
      </c>
      <c r="S38" s="22">
        <v>44</v>
      </c>
      <c r="T38" s="22">
        <v>3.55</v>
      </c>
      <c r="U38" s="22">
        <v>28.4</v>
      </c>
      <c r="V38" s="22">
        <v>127</v>
      </c>
      <c r="W38" s="22">
        <v>1.35</v>
      </c>
    </row>
    <row r="39" spans="1:23" hidden="1" x14ac:dyDescent="0.3">
      <c r="A39" s="5" t="s">
        <v>44</v>
      </c>
      <c r="B39" s="5">
        <v>2024</v>
      </c>
      <c r="C39" s="25">
        <v>424</v>
      </c>
      <c r="D39" s="22">
        <v>505</v>
      </c>
      <c r="E39" s="17" t="s">
        <v>50</v>
      </c>
      <c r="F39" s="18">
        <f t="shared" si="3"/>
        <v>0.94854586129753915</v>
      </c>
      <c r="G39" s="18">
        <f t="shared" si="4"/>
        <v>1.1297539149888143</v>
      </c>
      <c r="H39" s="22">
        <v>42</v>
      </c>
      <c r="I39" s="22">
        <v>0.83</v>
      </c>
      <c r="J39" s="22">
        <v>38.200000000000003</v>
      </c>
      <c r="K39" s="22">
        <v>193</v>
      </c>
      <c r="L39" s="22">
        <v>1.1100000000000001</v>
      </c>
      <c r="M39" s="22">
        <v>9.5</v>
      </c>
      <c r="N39" s="22">
        <v>0.6</v>
      </c>
      <c r="O39" s="22">
        <v>3</v>
      </c>
      <c r="P39" s="22">
        <v>0.4</v>
      </c>
      <c r="Q39" s="22">
        <v>1.3</v>
      </c>
      <c r="R39" s="22">
        <v>8.3000000000000007</v>
      </c>
      <c r="S39" s="22">
        <v>42</v>
      </c>
      <c r="T39" s="22">
        <v>3.73</v>
      </c>
      <c r="U39" s="22">
        <v>27.4</v>
      </c>
      <c r="V39" s="22">
        <v>127</v>
      </c>
      <c r="W39" s="22">
        <v>1.33</v>
      </c>
    </row>
    <row r="40" spans="1:23" hidden="1" x14ac:dyDescent="0.3">
      <c r="A40" s="5" t="s">
        <v>44</v>
      </c>
      <c r="B40" s="5">
        <v>2025</v>
      </c>
      <c r="C40" s="25">
        <v>460</v>
      </c>
      <c r="D40" s="22">
        <v>544</v>
      </c>
      <c r="E40" s="17" t="s">
        <v>51</v>
      </c>
      <c r="F40" s="18">
        <f t="shared" si="3"/>
        <v>1.0430839002267573</v>
      </c>
      <c r="G40" s="18">
        <f t="shared" si="4"/>
        <v>1.2335600907029478</v>
      </c>
      <c r="H40" s="22">
        <v>46</v>
      </c>
      <c r="I40" s="22">
        <v>0.97</v>
      </c>
      <c r="J40" s="22">
        <v>38.6</v>
      </c>
      <c r="K40" s="22">
        <v>210</v>
      </c>
      <c r="L40" s="22">
        <v>1.38</v>
      </c>
      <c r="M40" s="22">
        <v>3.5</v>
      </c>
      <c r="N40" s="22">
        <v>2.8</v>
      </c>
      <c r="O40" s="22">
        <v>15</v>
      </c>
      <c r="P40" s="22">
        <v>0.99</v>
      </c>
      <c r="Q40" s="22">
        <v>3.6</v>
      </c>
      <c r="R40" s="22">
        <v>11.2</v>
      </c>
      <c r="S40" s="22">
        <v>61</v>
      </c>
      <c r="T40" s="22">
        <v>5.7</v>
      </c>
      <c r="U40" s="22">
        <v>29.3</v>
      </c>
      <c r="V40" s="22">
        <v>153</v>
      </c>
      <c r="W40" s="22">
        <v>1.74</v>
      </c>
    </row>
    <row r="41" spans="1:23" hidden="1" x14ac:dyDescent="0.3">
      <c r="A41" s="5" t="s">
        <v>44</v>
      </c>
      <c r="B41" s="5" t="s">
        <v>32</v>
      </c>
      <c r="C41" s="24">
        <v>3177</v>
      </c>
      <c r="D41" s="22">
        <v>3740</v>
      </c>
      <c r="E41" s="17"/>
      <c r="F41" s="18"/>
      <c r="G41" s="18"/>
      <c r="H41" s="22">
        <v>46</v>
      </c>
      <c r="I41" s="22">
        <v>0.9</v>
      </c>
      <c r="J41" s="22">
        <v>34.9</v>
      </c>
      <c r="K41" s="22">
        <v>1304</v>
      </c>
      <c r="L41" s="22">
        <v>1.1000000000000001</v>
      </c>
      <c r="M41" s="22">
        <v>16.100000000000001</v>
      </c>
      <c r="N41" s="22">
        <v>1</v>
      </c>
      <c r="O41" s="22">
        <v>38</v>
      </c>
      <c r="P41" s="22">
        <v>0.77</v>
      </c>
      <c r="Q41" s="22">
        <v>7.2</v>
      </c>
      <c r="R41" s="22">
        <v>10.6</v>
      </c>
      <c r="S41" s="22">
        <v>396</v>
      </c>
      <c r="T41" s="22">
        <v>4.13</v>
      </c>
      <c r="U41" s="22">
        <v>24.2</v>
      </c>
      <c r="V41" s="22">
        <v>838</v>
      </c>
      <c r="W41" s="22">
        <v>1.51</v>
      </c>
    </row>
    <row r="42" spans="1:23" x14ac:dyDescent="0.3">
      <c r="A42" s="5" t="s">
        <v>52</v>
      </c>
      <c r="B42" s="5">
        <v>2017</v>
      </c>
      <c r="C42" s="24">
        <v>508</v>
      </c>
      <c r="D42" s="22">
        <v>817</v>
      </c>
      <c r="E42" s="12">
        <f>269+351+230</f>
        <v>850</v>
      </c>
      <c r="F42" s="18">
        <f t="shared" ref="F42:F50" si="5">C42/E42</f>
        <v>0.59764705882352942</v>
      </c>
      <c r="G42" s="18">
        <f t="shared" ref="G42:G50" si="6">D42/E42</f>
        <v>0.9611764705882353</v>
      </c>
      <c r="H42" s="22">
        <v>36</v>
      </c>
      <c r="I42" s="22">
        <v>0.71</v>
      </c>
      <c r="J42" s="22">
        <v>20.3</v>
      </c>
      <c r="K42" s="22">
        <v>166</v>
      </c>
      <c r="L42" s="22">
        <v>0.72</v>
      </c>
      <c r="M42" s="22">
        <v>16.7</v>
      </c>
      <c r="N42" s="22">
        <v>2.2000000000000002</v>
      </c>
      <c r="O42" s="22">
        <v>18</v>
      </c>
      <c r="P42" s="22">
        <v>0.32</v>
      </c>
      <c r="Q42" s="22">
        <v>9.8000000000000007</v>
      </c>
      <c r="R42" s="22">
        <v>6.9</v>
      </c>
      <c r="S42" s="22">
        <v>56</v>
      </c>
      <c r="T42" s="22">
        <v>3.72</v>
      </c>
      <c r="U42" s="30">
        <v>23.9</v>
      </c>
      <c r="V42" s="30">
        <v>142</v>
      </c>
      <c r="W42" s="22">
        <v>1.45</v>
      </c>
    </row>
    <row r="43" spans="1:23" x14ac:dyDescent="0.3">
      <c r="A43" s="21" t="s">
        <v>52</v>
      </c>
      <c r="B43" s="21">
        <v>2018</v>
      </c>
      <c r="C43" s="25">
        <v>482</v>
      </c>
      <c r="D43" s="22">
        <v>692</v>
      </c>
      <c r="E43" s="17" t="s">
        <v>53</v>
      </c>
      <c r="F43" s="18">
        <f t="shared" si="5"/>
        <v>0.55338691159586684</v>
      </c>
      <c r="G43" s="18">
        <f t="shared" si="6"/>
        <v>0.79448909299655568</v>
      </c>
      <c r="H43" s="22">
        <v>34</v>
      </c>
      <c r="I43" s="22">
        <v>0.74</v>
      </c>
      <c r="J43" s="22">
        <v>24.7</v>
      </c>
      <c r="K43" s="22">
        <v>171</v>
      </c>
      <c r="L43" s="22">
        <v>1.1200000000000001</v>
      </c>
      <c r="M43" s="22">
        <v>25.8</v>
      </c>
      <c r="N43" s="22">
        <v>1.4</v>
      </c>
      <c r="O43" s="22">
        <v>10</v>
      </c>
      <c r="P43" s="22">
        <v>0.56999999999999995</v>
      </c>
      <c r="Q43" s="22">
        <v>11.8</v>
      </c>
      <c r="R43" s="22">
        <v>8.8000000000000007</v>
      </c>
      <c r="S43" s="22">
        <v>61</v>
      </c>
      <c r="T43" s="22">
        <v>3.76</v>
      </c>
      <c r="U43" s="22">
        <v>21.8</v>
      </c>
      <c r="V43" s="22">
        <v>120</v>
      </c>
      <c r="W43" s="22">
        <v>1.41</v>
      </c>
    </row>
    <row r="44" spans="1:23" x14ac:dyDescent="0.3">
      <c r="A44" s="5" t="s">
        <v>52</v>
      </c>
      <c r="B44" s="5">
        <v>2019</v>
      </c>
      <c r="C44" s="25">
        <v>565</v>
      </c>
      <c r="D44" s="22">
        <v>752</v>
      </c>
      <c r="E44" s="17" t="s">
        <v>53</v>
      </c>
      <c r="F44" s="18">
        <f t="shared" si="5"/>
        <v>0.64867967853042485</v>
      </c>
      <c r="G44" s="18">
        <f t="shared" si="6"/>
        <v>0.86337543053960963</v>
      </c>
      <c r="H44" s="22">
        <v>32</v>
      </c>
      <c r="I44" s="22">
        <v>0.83</v>
      </c>
      <c r="J44" s="22">
        <v>26.7</v>
      </c>
      <c r="K44" s="22">
        <v>201</v>
      </c>
      <c r="L44" s="22">
        <v>1.1299999999999999</v>
      </c>
      <c r="M44" s="22">
        <v>24</v>
      </c>
      <c r="N44" s="22">
        <v>1.6</v>
      </c>
      <c r="O44" s="22">
        <v>12</v>
      </c>
      <c r="P44" s="22">
        <v>0.49</v>
      </c>
      <c r="Q44" s="22">
        <v>9.8000000000000007</v>
      </c>
      <c r="R44" s="22">
        <v>8.1</v>
      </c>
      <c r="S44" s="22">
        <v>61</v>
      </c>
      <c r="T44" s="22">
        <v>4.2699999999999996</v>
      </c>
      <c r="U44" s="22">
        <v>23</v>
      </c>
      <c r="V44" s="22">
        <v>140</v>
      </c>
      <c r="W44" s="22">
        <v>1.72</v>
      </c>
    </row>
    <row r="45" spans="1:23" x14ac:dyDescent="0.3">
      <c r="A45" s="5" t="s">
        <v>52</v>
      </c>
      <c r="B45" s="5">
        <v>2020</v>
      </c>
      <c r="C45" s="25">
        <v>698</v>
      </c>
      <c r="D45" s="22">
        <v>853</v>
      </c>
      <c r="E45" s="17" t="s">
        <v>54</v>
      </c>
      <c r="F45" s="18">
        <f t="shared" si="5"/>
        <v>0.80787037037037035</v>
      </c>
      <c r="G45" s="18">
        <f t="shared" si="6"/>
        <v>0.98726851851851849</v>
      </c>
      <c r="H45" s="22">
        <v>35</v>
      </c>
      <c r="I45" s="22">
        <v>0.92</v>
      </c>
      <c r="J45" s="22">
        <v>33.6</v>
      </c>
      <c r="K45" s="22">
        <v>287</v>
      </c>
      <c r="L45" s="22">
        <v>1.28</v>
      </c>
      <c r="M45" s="22">
        <v>30.8</v>
      </c>
      <c r="N45" s="22">
        <v>1.4</v>
      </c>
      <c r="O45" s="22">
        <v>12</v>
      </c>
      <c r="P45" s="22">
        <v>1.5</v>
      </c>
      <c r="Q45" s="22">
        <v>31.9</v>
      </c>
      <c r="R45" s="22">
        <v>13.4</v>
      </c>
      <c r="S45" s="22">
        <v>114</v>
      </c>
      <c r="T45" s="22">
        <v>3.76</v>
      </c>
      <c r="U45" s="22">
        <v>25.8</v>
      </c>
      <c r="V45" s="22">
        <v>193</v>
      </c>
      <c r="W45" s="22">
        <v>1.73</v>
      </c>
    </row>
    <row r="46" spans="1:23" x14ac:dyDescent="0.3">
      <c r="A46" s="5" t="s">
        <v>52</v>
      </c>
      <c r="B46" s="5">
        <v>2021</v>
      </c>
      <c r="C46" s="25">
        <v>870</v>
      </c>
      <c r="D46" s="22">
        <v>979</v>
      </c>
      <c r="E46" s="17" t="s">
        <v>55</v>
      </c>
      <c r="F46" s="18">
        <f t="shared" si="5"/>
        <v>1.0116279069767442</v>
      </c>
      <c r="G46" s="18">
        <f t="shared" si="6"/>
        <v>1.1383720930232557</v>
      </c>
      <c r="H46" s="22">
        <v>41</v>
      </c>
      <c r="I46" s="22">
        <v>1.06</v>
      </c>
      <c r="J46" s="22">
        <v>34.1</v>
      </c>
      <c r="K46" s="22">
        <v>334</v>
      </c>
      <c r="L46" s="22">
        <v>1.51</v>
      </c>
      <c r="M46" s="22">
        <v>32.799999999999997</v>
      </c>
      <c r="N46" s="22">
        <v>1.9</v>
      </c>
      <c r="O46" s="22">
        <v>19</v>
      </c>
      <c r="P46" s="22">
        <v>1.08</v>
      </c>
      <c r="Q46" s="22">
        <v>19.8</v>
      </c>
      <c r="R46" s="22">
        <v>15.7</v>
      </c>
      <c r="S46" s="22">
        <v>154</v>
      </c>
      <c r="T46" s="22">
        <v>4.16</v>
      </c>
      <c r="U46" s="22">
        <v>26.2</v>
      </c>
      <c r="V46" s="22">
        <v>227</v>
      </c>
      <c r="W46" s="22">
        <v>1.7</v>
      </c>
    </row>
    <row r="47" spans="1:23" x14ac:dyDescent="0.3">
      <c r="A47" s="5" t="s">
        <v>52</v>
      </c>
      <c r="B47" s="5">
        <v>2022</v>
      </c>
      <c r="C47" s="25">
        <v>1000</v>
      </c>
      <c r="D47" s="22">
        <v>1175</v>
      </c>
      <c r="E47" s="17" t="s">
        <v>56</v>
      </c>
      <c r="F47" s="18">
        <f t="shared" si="5"/>
        <v>1.1918951132300357</v>
      </c>
      <c r="G47" s="18">
        <f t="shared" si="6"/>
        <v>1.4004767580452919</v>
      </c>
      <c r="H47" s="22">
        <v>50</v>
      </c>
      <c r="I47" s="22">
        <v>1.1299999999999999</v>
      </c>
      <c r="J47" s="22">
        <v>37.799999999999997</v>
      </c>
      <c r="K47" s="22">
        <v>444</v>
      </c>
      <c r="L47" s="22">
        <v>1.7</v>
      </c>
      <c r="M47" s="22">
        <v>33.200000000000003</v>
      </c>
      <c r="N47" s="22">
        <v>2</v>
      </c>
      <c r="O47" s="22">
        <v>23</v>
      </c>
      <c r="P47" s="22">
        <v>1.41</v>
      </c>
      <c r="Q47" s="22">
        <v>17.399999999999999</v>
      </c>
      <c r="R47" s="22">
        <v>17.5</v>
      </c>
      <c r="S47" s="22">
        <v>206</v>
      </c>
      <c r="T47" s="22">
        <v>4.54</v>
      </c>
      <c r="U47" s="22">
        <v>27.5</v>
      </c>
      <c r="V47" s="22">
        <v>287</v>
      </c>
      <c r="W47" s="22">
        <v>2.23</v>
      </c>
    </row>
    <row r="48" spans="1:23" x14ac:dyDescent="0.3">
      <c r="A48" s="5" t="s">
        <v>52</v>
      </c>
      <c r="B48" s="5">
        <v>2023</v>
      </c>
      <c r="C48" s="25">
        <v>848</v>
      </c>
      <c r="D48" s="22">
        <v>1086</v>
      </c>
      <c r="E48" s="17" t="s">
        <v>57</v>
      </c>
      <c r="F48" s="18">
        <f t="shared" si="5"/>
        <v>0.98375870069605564</v>
      </c>
      <c r="G48" s="18">
        <f t="shared" si="6"/>
        <v>1.259860788863109</v>
      </c>
      <c r="H48" s="22">
        <v>60</v>
      </c>
      <c r="I48" s="22">
        <v>1.07</v>
      </c>
      <c r="J48" s="22">
        <v>38.9</v>
      </c>
      <c r="K48" s="22">
        <v>422</v>
      </c>
      <c r="L48" s="22">
        <v>1.6</v>
      </c>
      <c r="M48" s="22">
        <v>23.7</v>
      </c>
      <c r="N48" s="22">
        <v>2.4</v>
      </c>
      <c r="O48" s="22">
        <v>26</v>
      </c>
      <c r="P48" s="22">
        <v>1.04</v>
      </c>
      <c r="Q48" s="22">
        <v>10.5</v>
      </c>
      <c r="R48" s="22">
        <v>18.3</v>
      </c>
      <c r="S48" s="22">
        <v>199</v>
      </c>
      <c r="T48" s="22">
        <v>4.28</v>
      </c>
      <c r="U48" s="22">
        <v>32.5</v>
      </c>
      <c r="V48" s="22">
        <v>310</v>
      </c>
      <c r="W48" s="22">
        <v>1.82</v>
      </c>
    </row>
    <row r="49" spans="1:23" x14ac:dyDescent="0.3">
      <c r="A49" s="5" t="s">
        <v>52</v>
      </c>
      <c r="B49" s="5">
        <v>2024</v>
      </c>
      <c r="C49" s="25">
        <v>885</v>
      </c>
      <c r="D49" s="22">
        <v>1141</v>
      </c>
      <c r="E49" s="17" t="s">
        <v>54</v>
      </c>
      <c r="F49" s="18">
        <f t="shared" si="5"/>
        <v>1.0243055555555556</v>
      </c>
      <c r="G49" s="18">
        <f t="shared" si="6"/>
        <v>1.3206018518518519</v>
      </c>
      <c r="H49" s="22">
        <v>75</v>
      </c>
      <c r="I49" s="22">
        <v>1.03</v>
      </c>
      <c r="J49" s="22">
        <v>37.700000000000003</v>
      </c>
      <c r="K49" s="22">
        <v>430</v>
      </c>
      <c r="L49" s="22">
        <v>1.52</v>
      </c>
      <c r="M49" s="22">
        <v>12.8</v>
      </c>
      <c r="N49" s="22">
        <v>1.8</v>
      </c>
      <c r="O49" s="22">
        <v>20</v>
      </c>
      <c r="P49" s="22">
        <v>2.0699999999999998</v>
      </c>
      <c r="Q49" s="22">
        <v>18.8</v>
      </c>
      <c r="R49" s="22">
        <v>14.7</v>
      </c>
      <c r="S49" s="22">
        <v>168</v>
      </c>
      <c r="T49" s="22">
        <v>4.3899999999999997</v>
      </c>
      <c r="U49" s="22">
        <v>36.4</v>
      </c>
      <c r="V49" s="22">
        <v>360</v>
      </c>
      <c r="W49" s="22">
        <v>1.68</v>
      </c>
    </row>
    <row r="50" spans="1:23" x14ac:dyDescent="0.3">
      <c r="A50" s="5" t="s">
        <v>52</v>
      </c>
      <c r="B50" s="5">
        <v>2025</v>
      </c>
      <c r="C50" s="25">
        <v>962</v>
      </c>
      <c r="D50" s="22">
        <v>1310</v>
      </c>
      <c r="E50" s="17" t="s">
        <v>58</v>
      </c>
      <c r="F50" s="18">
        <f t="shared" si="5"/>
        <v>1.1212121212121211</v>
      </c>
      <c r="G50" s="18">
        <f t="shared" si="6"/>
        <v>1.5268065268065267</v>
      </c>
      <c r="H50" s="22">
        <v>88</v>
      </c>
      <c r="I50" s="22">
        <v>0.92</v>
      </c>
      <c r="J50" s="22">
        <v>41.3</v>
      </c>
      <c r="K50" s="22">
        <v>541</v>
      </c>
      <c r="L50" s="22">
        <v>1.24</v>
      </c>
      <c r="M50" s="22">
        <v>4.5999999999999996</v>
      </c>
      <c r="N50" s="22">
        <v>3.1</v>
      </c>
      <c r="O50" s="22">
        <v>41</v>
      </c>
      <c r="P50" s="22">
        <v>1.26</v>
      </c>
      <c r="Q50" s="22">
        <v>3.2</v>
      </c>
      <c r="R50" s="22">
        <v>16.3</v>
      </c>
      <c r="S50" s="22">
        <v>213</v>
      </c>
      <c r="T50" s="22">
        <v>4.67</v>
      </c>
      <c r="U50" s="22">
        <v>36.6</v>
      </c>
      <c r="V50" s="22">
        <v>427</v>
      </c>
      <c r="W50" s="22">
        <v>1.37</v>
      </c>
    </row>
    <row r="51" spans="1:23" x14ac:dyDescent="0.3">
      <c r="A51" s="5" t="s">
        <v>52</v>
      </c>
      <c r="B51" s="5" t="s">
        <v>32</v>
      </c>
      <c r="C51" s="25">
        <v>6818</v>
      </c>
      <c r="D51" s="22">
        <v>8805</v>
      </c>
      <c r="E51" s="17"/>
      <c r="F51" s="18"/>
      <c r="G51" s="18"/>
      <c r="H51" s="22">
        <v>88</v>
      </c>
      <c r="I51" s="22">
        <v>0.95</v>
      </c>
      <c r="J51" s="22">
        <v>34</v>
      </c>
      <c r="K51" s="22">
        <v>2996</v>
      </c>
      <c r="L51" s="22">
        <v>1.39</v>
      </c>
      <c r="M51" s="22">
        <v>21.5</v>
      </c>
      <c r="N51" s="22">
        <v>2.1</v>
      </c>
      <c r="O51" s="22">
        <v>181</v>
      </c>
      <c r="P51" s="22">
        <v>1.1499999999999999</v>
      </c>
      <c r="Q51" s="22">
        <v>13</v>
      </c>
      <c r="R51" s="22">
        <v>14</v>
      </c>
      <c r="S51" s="22">
        <v>1232</v>
      </c>
      <c r="T51" s="22">
        <v>4.2699999999999996</v>
      </c>
      <c r="U51" s="22">
        <v>29.3</v>
      </c>
      <c r="V51" s="22">
        <v>2206</v>
      </c>
      <c r="W51" s="22">
        <v>1.69</v>
      </c>
    </row>
    <row r="52" spans="1:23" x14ac:dyDescent="0.3">
      <c r="A52" s="5" t="s">
        <v>59</v>
      </c>
      <c r="B52" s="5">
        <v>2017</v>
      </c>
      <c r="C52" s="24">
        <v>228</v>
      </c>
      <c r="D52" s="22">
        <v>434</v>
      </c>
      <c r="E52" s="12">
        <v>365</v>
      </c>
      <c r="F52" s="18">
        <f t="shared" ref="F52:F60" si="7">C52/E52</f>
        <v>0.62465753424657533</v>
      </c>
      <c r="G52" s="18">
        <f>D52/E52</f>
        <v>1.189041095890411</v>
      </c>
      <c r="H52" s="22">
        <v>28</v>
      </c>
      <c r="I52" s="22">
        <v>0.65</v>
      </c>
      <c r="J52" s="22">
        <v>18.2</v>
      </c>
      <c r="K52" s="22">
        <v>79</v>
      </c>
      <c r="L52" s="22">
        <v>0.99</v>
      </c>
      <c r="M52" s="22">
        <v>26.8</v>
      </c>
      <c r="N52" s="22">
        <v>3.7</v>
      </c>
      <c r="O52" s="22">
        <v>16</v>
      </c>
      <c r="P52" s="22">
        <v>0.74</v>
      </c>
      <c r="Q52" s="22">
        <v>7.3</v>
      </c>
      <c r="R52" s="22">
        <v>5.3</v>
      </c>
      <c r="S52" s="30">
        <v>23</v>
      </c>
      <c r="T52" s="22">
        <v>3.86</v>
      </c>
      <c r="U52" s="30">
        <v>19.899999999999999</v>
      </c>
      <c r="V52" s="30">
        <v>57</v>
      </c>
      <c r="W52" s="22">
        <v>1.48</v>
      </c>
    </row>
    <row r="53" spans="1:23" x14ac:dyDescent="0.3">
      <c r="A53" s="5" t="s">
        <v>59</v>
      </c>
      <c r="B53" s="5">
        <v>2018</v>
      </c>
      <c r="C53" s="25">
        <v>289</v>
      </c>
      <c r="D53" s="22">
        <v>474</v>
      </c>
      <c r="E53" s="17" t="s">
        <v>45</v>
      </c>
      <c r="F53" s="18">
        <f t="shared" si="7"/>
        <v>0.7031630170316302</v>
      </c>
      <c r="G53" s="18">
        <f>D53/E53</f>
        <v>1.1532846715328466</v>
      </c>
      <c r="H53" s="22">
        <v>28</v>
      </c>
      <c r="I53" s="22">
        <v>0.69</v>
      </c>
      <c r="J53" s="22">
        <v>22.4</v>
      </c>
      <c r="K53" s="22">
        <v>106</v>
      </c>
      <c r="L53" s="22">
        <v>1.04</v>
      </c>
      <c r="M53" s="22">
        <v>27.6</v>
      </c>
      <c r="N53" s="22">
        <v>3.2</v>
      </c>
      <c r="O53" s="22">
        <v>15</v>
      </c>
      <c r="P53" s="22">
        <v>0.64</v>
      </c>
      <c r="Q53" s="22">
        <v>6.9</v>
      </c>
      <c r="R53" s="22">
        <v>9.1</v>
      </c>
      <c r="S53" s="22">
        <v>43</v>
      </c>
      <c r="T53" s="22">
        <v>3.93</v>
      </c>
      <c r="U53" s="22">
        <v>21.9</v>
      </c>
      <c r="V53" s="22">
        <v>79</v>
      </c>
      <c r="W53" s="22">
        <v>1.92</v>
      </c>
    </row>
    <row r="54" spans="1:23" x14ac:dyDescent="0.3">
      <c r="A54" s="5" t="s">
        <v>59</v>
      </c>
      <c r="B54" s="5">
        <v>2019</v>
      </c>
      <c r="C54" s="25">
        <v>383</v>
      </c>
      <c r="D54" s="22">
        <v>554</v>
      </c>
      <c r="E54" s="17" t="s">
        <v>60</v>
      </c>
      <c r="F54" s="18">
        <f t="shared" si="7"/>
        <v>0.91190476190476188</v>
      </c>
      <c r="G54" s="18">
        <f>D54/E54</f>
        <v>1.319047619047619</v>
      </c>
      <c r="H54" s="22">
        <v>29</v>
      </c>
      <c r="I54" s="22">
        <v>0.84</v>
      </c>
      <c r="J54" s="22">
        <v>28.9</v>
      </c>
      <c r="K54" s="22">
        <v>160</v>
      </c>
      <c r="L54" s="22">
        <v>1.1399999999999999</v>
      </c>
      <c r="M54" s="22">
        <v>30.2</v>
      </c>
      <c r="N54" s="22">
        <v>2.2000000000000002</v>
      </c>
      <c r="O54" s="22">
        <v>12</v>
      </c>
      <c r="P54" s="22">
        <v>0.49</v>
      </c>
      <c r="Q54" s="22">
        <v>13.6</v>
      </c>
      <c r="R54" s="22">
        <v>10.5</v>
      </c>
      <c r="S54" s="22">
        <v>58</v>
      </c>
      <c r="T54" s="22">
        <v>3.97</v>
      </c>
      <c r="U54" s="22">
        <v>25.4</v>
      </c>
      <c r="V54" s="22">
        <v>117</v>
      </c>
      <c r="W54" s="22">
        <v>1.9</v>
      </c>
    </row>
    <row r="55" spans="1:23" x14ac:dyDescent="0.3">
      <c r="A55" s="5" t="s">
        <v>59</v>
      </c>
      <c r="B55" s="5">
        <v>2020</v>
      </c>
      <c r="C55" s="25">
        <v>510</v>
      </c>
      <c r="D55" s="22">
        <v>692</v>
      </c>
      <c r="E55" s="17" t="s">
        <v>61</v>
      </c>
      <c r="F55" s="18">
        <f t="shared" si="7"/>
        <v>1.2</v>
      </c>
      <c r="G55" s="18">
        <f>D55/E55</f>
        <v>1.628235294117647</v>
      </c>
      <c r="H55" s="22">
        <v>30</v>
      </c>
      <c r="I55" s="22">
        <v>1.28</v>
      </c>
      <c r="J55" s="22">
        <v>46.1</v>
      </c>
      <c r="K55" s="22">
        <v>319</v>
      </c>
      <c r="L55" s="22">
        <v>2.02</v>
      </c>
      <c r="M55" s="22">
        <v>43.3</v>
      </c>
      <c r="N55" s="22">
        <v>1</v>
      </c>
      <c r="O55" s="22">
        <v>7</v>
      </c>
      <c r="P55" s="22">
        <v>0.88</v>
      </c>
      <c r="Q55" s="22">
        <v>36.1</v>
      </c>
      <c r="R55" s="22">
        <v>16.600000000000001</v>
      </c>
      <c r="S55" s="22">
        <v>115</v>
      </c>
      <c r="T55" s="22">
        <v>5.38</v>
      </c>
      <c r="U55" s="22">
        <v>26.4</v>
      </c>
      <c r="V55" s="22">
        <v>148</v>
      </c>
      <c r="W55" s="22">
        <v>2.02</v>
      </c>
    </row>
    <row r="56" spans="1:23" x14ac:dyDescent="0.3">
      <c r="A56" s="5" t="s">
        <v>59</v>
      </c>
      <c r="B56" s="5">
        <v>2021</v>
      </c>
      <c r="C56" s="25">
        <v>865</v>
      </c>
      <c r="D56" s="22">
        <v>942</v>
      </c>
      <c r="E56" s="17" t="s">
        <v>62</v>
      </c>
      <c r="F56" s="18">
        <f t="shared" si="7"/>
        <v>2.0693779904306222</v>
      </c>
      <c r="G56" s="18">
        <f>D56/E56</f>
        <v>2.2535885167464116</v>
      </c>
      <c r="H56" s="22">
        <v>38</v>
      </c>
      <c r="I56" s="22">
        <v>1.84</v>
      </c>
      <c r="J56" s="22">
        <v>55.4</v>
      </c>
      <c r="K56" s="22">
        <v>522</v>
      </c>
      <c r="L56" s="22">
        <v>2.77</v>
      </c>
      <c r="M56" s="22">
        <v>53.2</v>
      </c>
      <c r="N56" s="22">
        <v>1.9</v>
      </c>
      <c r="O56" s="22">
        <v>18</v>
      </c>
      <c r="P56" s="22">
        <v>3.91</v>
      </c>
      <c r="Q56" s="22">
        <v>62.7</v>
      </c>
      <c r="R56" s="22">
        <v>22.6</v>
      </c>
      <c r="S56" s="22">
        <v>213</v>
      </c>
      <c r="T56" s="22">
        <v>6.48</v>
      </c>
      <c r="U56" s="22">
        <v>33.799999999999997</v>
      </c>
      <c r="V56" s="22">
        <v>275</v>
      </c>
      <c r="W56" s="22">
        <v>3.83</v>
      </c>
    </row>
    <row r="57" spans="1:23" x14ac:dyDescent="0.3">
      <c r="A57" s="5" t="s">
        <v>59</v>
      </c>
      <c r="B57" s="5">
        <v>2022</v>
      </c>
      <c r="C57" s="25">
        <v>915</v>
      </c>
      <c r="D57" s="22">
        <v>1022</v>
      </c>
      <c r="E57" s="17" t="s">
        <v>45</v>
      </c>
      <c r="F57" s="18">
        <f t="shared" si="7"/>
        <v>2.2262773722627736</v>
      </c>
      <c r="G57" s="17">
        <v>2.48</v>
      </c>
      <c r="H57" s="22">
        <v>56</v>
      </c>
      <c r="I57" s="22">
        <v>2.25</v>
      </c>
      <c r="J57" s="22">
        <v>62.7</v>
      </c>
      <c r="K57" s="22">
        <v>641</v>
      </c>
      <c r="L57" s="22">
        <v>3.04</v>
      </c>
      <c r="M57" s="22">
        <v>43</v>
      </c>
      <c r="N57" s="22">
        <v>3.2</v>
      </c>
      <c r="O57" s="22">
        <v>33</v>
      </c>
      <c r="P57" s="22">
        <v>11.8</v>
      </c>
      <c r="Q57" s="22">
        <v>143.1</v>
      </c>
      <c r="R57" s="22">
        <v>25.8</v>
      </c>
      <c r="S57" s="22">
        <v>264</v>
      </c>
      <c r="T57" s="22">
        <v>7.8</v>
      </c>
      <c r="U57" s="22">
        <v>35.4</v>
      </c>
      <c r="V57" s="22">
        <v>333</v>
      </c>
      <c r="W57" s="22">
        <v>4.53</v>
      </c>
    </row>
    <row r="58" spans="1:23" x14ac:dyDescent="0.3">
      <c r="A58" s="5" t="s">
        <v>59</v>
      </c>
      <c r="B58" s="5">
        <v>2023</v>
      </c>
      <c r="C58" s="25">
        <v>714</v>
      </c>
      <c r="D58" s="22">
        <v>930</v>
      </c>
      <c r="E58" s="17" t="s">
        <v>60</v>
      </c>
      <c r="F58" s="18">
        <f t="shared" si="7"/>
        <v>1.7</v>
      </c>
      <c r="G58" s="18">
        <f>D58/E58</f>
        <v>2.2142857142857144</v>
      </c>
      <c r="H58" s="22">
        <v>74</v>
      </c>
      <c r="I58" s="22">
        <v>1.94</v>
      </c>
      <c r="J58" s="22">
        <v>57.3</v>
      </c>
      <c r="K58" s="22">
        <v>533</v>
      </c>
      <c r="L58" s="22">
        <v>2.86</v>
      </c>
      <c r="M58" s="22">
        <v>34</v>
      </c>
      <c r="N58" s="22">
        <v>1.6</v>
      </c>
      <c r="O58" s="22">
        <v>15</v>
      </c>
      <c r="P58" s="22">
        <v>17.54</v>
      </c>
      <c r="Q58" s="22">
        <v>167.8</v>
      </c>
      <c r="R58" s="22">
        <v>23.7</v>
      </c>
      <c r="S58" s="22">
        <v>220</v>
      </c>
      <c r="T58" s="22">
        <v>7.25</v>
      </c>
      <c r="U58" s="22">
        <v>37.5</v>
      </c>
      <c r="V58" s="22">
        <v>314</v>
      </c>
      <c r="W58" s="22">
        <v>3.82</v>
      </c>
    </row>
    <row r="59" spans="1:23" x14ac:dyDescent="0.3">
      <c r="A59" s="5" t="s">
        <v>59</v>
      </c>
      <c r="B59" s="5">
        <v>2024</v>
      </c>
      <c r="C59" s="25">
        <v>671</v>
      </c>
      <c r="D59" s="22">
        <v>876</v>
      </c>
      <c r="E59" s="17" t="s">
        <v>63</v>
      </c>
      <c r="F59" s="18">
        <f t="shared" si="7"/>
        <v>1.6527093596059113</v>
      </c>
      <c r="G59" s="18">
        <f>D59/E59</f>
        <v>2.1576354679802954</v>
      </c>
      <c r="H59" s="22">
        <v>93</v>
      </c>
      <c r="I59" s="22">
        <v>4.01</v>
      </c>
      <c r="J59" s="22">
        <v>55.6</v>
      </c>
      <c r="K59" s="22">
        <v>487</v>
      </c>
      <c r="L59" s="22">
        <v>6.22</v>
      </c>
      <c r="M59" s="22">
        <v>39.9</v>
      </c>
      <c r="N59" s="22">
        <v>1.7</v>
      </c>
      <c r="O59" s="22">
        <v>15</v>
      </c>
      <c r="P59" s="22">
        <v>132.76</v>
      </c>
      <c r="Q59" s="22">
        <v>685.1</v>
      </c>
      <c r="R59" s="22">
        <v>24.1</v>
      </c>
      <c r="S59" s="22">
        <v>211</v>
      </c>
      <c r="T59" s="22">
        <v>19.600000000000001</v>
      </c>
      <c r="U59" s="22">
        <v>38.6</v>
      </c>
      <c r="V59" s="22">
        <v>299</v>
      </c>
      <c r="W59" s="22">
        <v>9.4600000000000009</v>
      </c>
    </row>
    <row r="60" spans="1:23" x14ac:dyDescent="0.3">
      <c r="A60" s="5" t="s">
        <v>59</v>
      </c>
      <c r="B60" s="5">
        <v>2025</v>
      </c>
      <c r="C60" s="25">
        <v>799</v>
      </c>
      <c r="D60" s="22">
        <v>1016</v>
      </c>
      <c r="E60" s="17" t="s">
        <v>64</v>
      </c>
      <c r="F60" s="18">
        <f t="shared" si="7"/>
        <v>1.948780487804878</v>
      </c>
      <c r="G60" s="18">
        <f>D60/E60</f>
        <v>2.4780487804878049</v>
      </c>
      <c r="H60" s="22">
        <v>103</v>
      </c>
      <c r="I60" s="22">
        <v>2.34</v>
      </c>
      <c r="J60" s="22">
        <v>55.3</v>
      </c>
      <c r="K60" s="22">
        <v>562</v>
      </c>
      <c r="L60" s="22">
        <v>3.36</v>
      </c>
      <c r="M60" s="22">
        <v>10.5</v>
      </c>
      <c r="N60" s="22">
        <v>1.5</v>
      </c>
      <c r="O60" s="22">
        <v>15</v>
      </c>
      <c r="P60" s="22">
        <v>51.34</v>
      </c>
      <c r="Q60" s="22">
        <v>115.4</v>
      </c>
      <c r="R60" s="22">
        <v>25.8</v>
      </c>
      <c r="S60" s="22">
        <v>262</v>
      </c>
      <c r="T60" s="22">
        <v>9.9</v>
      </c>
      <c r="U60" s="22">
        <v>39.299999999999997</v>
      </c>
      <c r="V60" s="22">
        <v>359</v>
      </c>
      <c r="W60" s="22">
        <v>4.76</v>
      </c>
    </row>
    <row r="61" spans="1:23" x14ac:dyDescent="0.3">
      <c r="A61" s="5" t="s">
        <v>59</v>
      </c>
      <c r="B61" s="5" t="s">
        <v>32</v>
      </c>
      <c r="C61" s="24">
        <v>5374</v>
      </c>
      <c r="D61" s="22">
        <v>6940</v>
      </c>
      <c r="E61" s="17"/>
      <c r="F61" s="18"/>
      <c r="G61" s="18"/>
      <c r="H61" s="22">
        <v>103</v>
      </c>
      <c r="I61" s="22">
        <v>1.97</v>
      </c>
      <c r="J61" s="22">
        <v>49.1</v>
      </c>
      <c r="K61" s="22">
        <v>3409</v>
      </c>
      <c r="L61" s="22">
        <v>3.18</v>
      </c>
      <c r="M61" s="22">
        <v>35.9</v>
      </c>
      <c r="N61" s="22">
        <v>2.1</v>
      </c>
      <c r="O61" s="22">
        <v>146</v>
      </c>
      <c r="P61" s="22">
        <v>24.1</v>
      </c>
      <c r="Q61" s="22">
        <v>143.9</v>
      </c>
      <c r="R61" s="22">
        <v>20.3</v>
      </c>
      <c r="S61" s="22">
        <v>1409</v>
      </c>
      <c r="T61" s="22">
        <v>8.8800000000000008</v>
      </c>
      <c r="U61" s="22">
        <v>33.299999999999997</v>
      </c>
      <c r="V61" s="22">
        <v>1981</v>
      </c>
      <c r="W61" s="22">
        <v>4.57</v>
      </c>
    </row>
    <row r="62" spans="1:23" x14ac:dyDescent="0.3">
      <c r="A62" s="5" t="s">
        <v>65</v>
      </c>
      <c r="B62" s="5">
        <v>2017</v>
      </c>
      <c r="C62" s="24">
        <v>920</v>
      </c>
      <c r="D62" s="22">
        <v>1416</v>
      </c>
      <c r="E62" s="12">
        <v>458</v>
      </c>
      <c r="F62" s="18">
        <f t="shared" ref="F62:F70" si="8">C62/E62</f>
        <v>2.0087336244541483</v>
      </c>
      <c r="G62" s="18">
        <f>D62/E62</f>
        <v>3.0917030567685591</v>
      </c>
      <c r="H62" s="22">
        <v>57</v>
      </c>
      <c r="I62" s="22">
        <v>1.1100000000000001</v>
      </c>
      <c r="J62" s="22">
        <v>28.9</v>
      </c>
      <c r="K62" s="22">
        <v>409</v>
      </c>
      <c r="L62" s="22">
        <v>1.85</v>
      </c>
      <c r="M62" s="22">
        <v>37</v>
      </c>
      <c r="N62" s="22">
        <v>2.8</v>
      </c>
      <c r="O62" s="22">
        <v>39</v>
      </c>
      <c r="P62" s="22">
        <v>0.92</v>
      </c>
      <c r="Q62" s="22">
        <v>18.600000000000001</v>
      </c>
      <c r="R62" s="22">
        <v>11.4</v>
      </c>
      <c r="S62" s="30">
        <v>162</v>
      </c>
      <c r="T62" s="22">
        <v>5.98</v>
      </c>
      <c r="U62" s="30">
        <v>37.9</v>
      </c>
      <c r="V62" s="30">
        <v>384</v>
      </c>
      <c r="W62" s="22">
        <v>2.13</v>
      </c>
    </row>
    <row r="63" spans="1:23" x14ac:dyDescent="0.3">
      <c r="A63" s="5" t="s">
        <v>65</v>
      </c>
      <c r="B63" s="5">
        <v>2018</v>
      </c>
      <c r="C63" s="25">
        <v>887</v>
      </c>
      <c r="D63" s="22">
        <v>1329</v>
      </c>
      <c r="E63" s="17" t="s">
        <v>66</v>
      </c>
      <c r="F63" s="18">
        <f t="shared" si="8"/>
        <v>1.777555110220441</v>
      </c>
      <c r="G63" s="18">
        <f>D63/E63</f>
        <v>2.6633266533066133</v>
      </c>
      <c r="H63" s="22">
        <v>64</v>
      </c>
      <c r="I63" s="22">
        <v>1.1499999999999999</v>
      </c>
      <c r="J63" s="22">
        <v>33.200000000000003</v>
      </c>
      <c r="K63" s="22">
        <v>441</v>
      </c>
      <c r="L63" s="22">
        <v>1.66</v>
      </c>
      <c r="M63" s="22">
        <v>40</v>
      </c>
      <c r="N63" s="22">
        <v>2.1</v>
      </c>
      <c r="O63" s="22">
        <v>28</v>
      </c>
      <c r="P63" s="22">
        <v>2.0499999999999998</v>
      </c>
      <c r="Q63" s="22">
        <v>35.299999999999997</v>
      </c>
      <c r="R63" s="22">
        <v>13.9</v>
      </c>
      <c r="S63" s="22">
        <v>185</v>
      </c>
      <c r="T63" s="22">
        <v>5.0599999999999996</v>
      </c>
      <c r="U63" s="22">
        <v>37</v>
      </c>
      <c r="V63" s="22">
        <v>371</v>
      </c>
      <c r="W63" s="22">
        <v>2.12</v>
      </c>
    </row>
    <row r="64" spans="1:23" x14ac:dyDescent="0.3">
      <c r="A64" s="5" t="s">
        <v>65</v>
      </c>
      <c r="B64" s="5">
        <v>2019</v>
      </c>
      <c r="C64" s="25">
        <v>1061</v>
      </c>
      <c r="D64" s="22">
        <v>1470</v>
      </c>
      <c r="E64" s="17" t="s">
        <v>67</v>
      </c>
      <c r="F64" s="18">
        <f t="shared" si="8"/>
        <v>1.994360902255639</v>
      </c>
      <c r="G64" s="18">
        <f>D64/E64</f>
        <v>2.763157894736842</v>
      </c>
      <c r="H64" s="22">
        <v>69</v>
      </c>
      <c r="I64" s="22">
        <v>1.1599999999999999</v>
      </c>
      <c r="J64" s="22">
        <v>36.1</v>
      </c>
      <c r="K64" s="22">
        <v>530</v>
      </c>
      <c r="L64" s="22">
        <v>1.56</v>
      </c>
      <c r="M64" s="22">
        <v>36.9</v>
      </c>
      <c r="N64" s="22">
        <v>1.8</v>
      </c>
      <c r="O64" s="22">
        <v>27</v>
      </c>
      <c r="P64" s="22">
        <v>1.69</v>
      </c>
      <c r="Q64" s="22">
        <v>26.8</v>
      </c>
      <c r="R64" s="22">
        <v>16.3</v>
      </c>
      <c r="S64" s="22">
        <v>239</v>
      </c>
      <c r="T64" s="22">
        <v>4.5199999999999996</v>
      </c>
      <c r="U64" s="22">
        <v>38.4</v>
      </c>
      <c r="V64" s="22">
        <v>432</v>
      </c>
      <c r="W64" s="22">
        <v>1.96</v>
      </c>
    </row>
    <row r="65" spans="1:23" x14ac:dyDescent="0.3">
      <c r="A65" s="5" t="s">
        <v>65</v>
      </c>
      <c r="B65" s="5">
        <v>2020</v>
      </c>
      <c r="C65" s="25">
        <v>1239</v>
      </c>
      <c r="D65" s="22">
        <v>1585</v>
      </c>
      <c r="E65" s="17" t="s">
        <v>68</v>
      </c>
      <c r="F65" s="18">
        <f t="shared" si="8"/>
        <v>2.2124999999999999</v>
      </c>
      <c r="G65" s="18">
        <f>D65/E65</f>
        <v>2.8303571428571428</v>
      </c>
      <c r="H65" s="22">
        <v>67</v>
      </c>
      <c r="I65" s="22">
        <v>1.24</v>
      </c>
      <c r="J65" s="22">
        <v>39.4</v>
      </c>
      <c r="K65" s="22">
        <v>625</v>
      </c>
      <c r="L65" s="22">
        <v>1.74</v>
      </c>
      <c r="M65" s="22">
        <v>41.5</v>
      </c>
      <c r="N65" s="22">
        <v>2</v>
      </c>
      <c r="O65" s="22">
        <v>31</v>
      </c>
      <c r="P65" s="22">
        <v>1.63</v>
      </c>
      <c r="Q65" s="22">
        <v>31.7</v>
      </c>
      <c r="R65" s="22">
        <v>17.2</v>
      </c>
      <c r="S65" s="22">
        <v>273</v>
      </c>
      <c r="T65" s="22">
        <v>4.78</v>
      </c>
      <c r="U65" s="22">
        <v>37.799999999999997</v>
      </c>
      <c r="V65" s="22">
        <v>501</v>
      </c>
      <c r="W65" s="22">
        <v>1.98</v>
      </c>
    </row>
    <row r="66" spans="1:23" x14ac:dyDescent="0.3">
      <c r="A66" s="5" t="s">
        <v>65</v>
      </c>
      <c r="B66" s="5">
        <v>2021</v>
      </c>
      <c r="C66" s="25">
        <v>1487</v>
      </c>
      <c r="D66" s="22">
        <v>1716</v>
      </c>
      <c r="E66" s="17" t="s">
        <v>69</v>
      </c>
      <c r="F66" s="18">
        <f t="shared" si="8"/>
        <v>2.8486590038314175</v>
      </c>
      <c r="G66" s="18">
        <f>D66/E66</f>
        <v>3.2873563218390807</v>
      </c>
      <c r="H66" s="22">
        <v>72</v>
      </c>
      <c r="I66" s="22">
        <v>1.23</v>
      </c>
      <c r="J66" s="22">
        <v>39.200000000000003</v>
      </c>
      <c r="K66" s="22">
        <v>673</v>
      </c>
      <c r="L66" s="22">
        <v>1.62</v>
      </c>
      <c r="M66" s="22">
        <v>31.6</v>
      </c>
      <c r="N66" s="22">
        <v>2.5</v>
      </c>
      <c r="O66" s="22">
        <v>43</v>
      </c>
      <c r="P66" s="22">
        <v>1.53</v>
      </c>
      <c r="Q66" s="22">
        <v>25.8</v>
      </c>
      <c r="R66" s="22">
        <v>19.2</v>
      </c>
      <c r="S66" s="22">
        <v>329</v>
      </c>
      <c r="T66" s="22">
        <v>4.5599999999999996</v>
      </c>
      <c r="U66" s="22">
        <v>41.6</v>
      </c>
      <c r="V66" s="22">
        <v>615</v>
      </c>
      <c r="W66" s="22">
        <v>2.0099999999999998</v>
      </c>
    </row>
    <row r="67" spans="1:23" x14ac:dyDescent="0.3">
      <c r="A67" s="5" t="s">
        <v>65</v>
      </c>
      <c r="B67" s="5">
        <v>2022</v>
      </c>
      <c r="C67" s="25">
        <v>1371</v>
      </c>
      <c r="D67" s="22">
        <v>1687</v>
      </c>
      <c r="E67" s="17" t="s">
        <v>69</v>
      </c>
      <c r="F67" s="18">
        <f t="shared" si="8"/>
        <v>2.6264367816091956</v>
      </c>
      <c r="G67" s="17">
        <v>3.04</v>
      </c>
      <c r="H67" s="22">
        <v>82</v>
      </c>
      <c r="I67" s="22">
        <v>1.21</v>
      </c>
      <c r="J67" s="22">
        <v>38.4</v>
      </c>
      <c r="K67" s="22">
        <v>648</v>
      </c>
      <c r="L67" s="22">
        <v>1.44</v>
      </c>
      <c r="M67" s="22">
        <v>25</v>
      </c>
      <c r="N67" s="22">
        <v>2.2999999999999998</v>
      </c>
      <c r="O67" s="22">
        <v>39</v>
      </c>
      <c r="P67" s="22">
        <v>1.2</v>
      </c>
      <c r="Q67" s="22">
        <v>24</v>
      </c>
      <c r="R67" s="22">
        <v>19</v>
      </c>
      <c r="S67" s="22">
        <v>321</v>
      </c>
      <c r="T67" s="22">
        <v>4.71</v>
      </c>
      <c r="U67" s="22">
        <v>40.1</v>
      </c>
      <c r="V67" s="22">
        <v>588</v>
      </c>
      <c r="W67" s="22">
        <v>2.06</v>
      </c>
    </row>
    <row r="68" spans="1:23" x14ac:dyDescent="0.3">
      <c r="A68" s="5" t="s">
        <v>65</v>
      </c>
      <c r="B68" s="5">
        <v>2023</v>
      </c>
      <c r="C68" s="25">
        <v>1278</v>
      </c>
      <c r="D68" s="22">
        <v>1748</v>
      </c>
      <c r="E68" s="17" t="s">
        <v>70</v>
      </c>
      <c r="F68" s="18">
        <f t="shared" si="8"/>
        <v>2.3110307414104883</v>
      </c>
      <c r="G68" s="18">
        <f>D68/E68</f>
        <v>3.1609403254972874</v>
      </c>
      <c r="H68" s="22">
        <v>87</v>
      </c>
      <c r="I68" s="22">
        <v>1.2</v>
      </c>
      <c r="J68" s="22">
        <v>40.299999999999997</v>
      </c>
      <c r="K68" s="22">
        <v>704</v>
      </c>
      <c r="L68" s="22">
        <v>1.45</v>
      </c>
      <c r="M68" s="22">
        <v>19.7</v>
      </c>
      <c r="N68" s="22">
        <v>2.2999999999999998</v>
      </c>
      <c r="O68" s="22">
        <v>41</v>
      </c>
      <c r="P68" s="22">
        <v>1.28</v>
      </c>
      <c r="Q68" s="22">
        <v>15.1</v>
      </c>
      <c r="R68" s="22">
        <v>20.2</v>
      </c>
      <c r="S68" s="22">
        <v>353</v>
      </c>
      <c r="T68" s="22">
        <v>4.4400000000000004</v>
      </c>
      <c r="U68" s="22">
        <v>44.1</v>
      </c>
      <c r="V68" s="22">
        <v>612</v>
      </c>
      <c r="W68" s="22">
        <v>2.09</v>
      </c>
    </row>
    <row r="69" spans="1:23" x14ac:dyDescent="0.3">
      <c r="A69" s="5" t="s">
        <v>65</v>
      </c>
      <c r="B69" s="5">
        <v>2024</v>
      </c>
      <c r="C69" s="25">
        <v>1215</v>
      </c>
      <c r="D69" s="22">
        <v>1713</v>
      </c>
      <c r="E69" s="17" t="s">
        <v>71</v>
      </c>
      <c r="F69" s="18">
        <f t="shared" si="8"/>
        <v>2.1241258741258742</v>
      </c>
      <c r="G69" s="18">
        <f>D69/E69</f>
        <v>2.9947552447552446</v>
      </c>
      <c r="H69" s="22">
        <v>93</v>
      </c>
      <c r="I69" s="22">
        <v>1.1399999999999999</v>
      </c>
      <c r="J69" s="22">
        <v>40.799999999999997</v>
      </c>
      <c r="K69" s="22">
        <v>699</v>
      </c>
      <c r="L69" s="22">
        <v>1.37</v>
      </c>
      <c r="M69" s="22">
        <v>13.4</v>
      </c>
      <c r="N69" s="22">
        <v>2.5</v>
      </c>
      <c r="O69" s="22">
        <v>42</v>
      </c>
      <c r="P69" s="22">
        <v>1.58</v>
      </c>
      <c r="Q69" s="22">
        <v>11.9</v>
      </c>
      <c r="R69" s="22">
        <v>20.8</v>
      </c>
      <c r="S69" s="22">
        <v>356</v>
      </c>
      <c r="T69" s="22">
        <v>4.1100000000000003</v>
      </c>
      <c r="U69" s="22">
        <v>43.9</v>
      </c>
      <c r="V69" s="22">
        <v>637</v>
      </c>
      <c r="W69" s="22">
        <v>1.85</v>
      </c>
    </row>
    <row r="70" spans="1:23" x14ac:dyDescent="0.3">
      <c r="A70" s="5" t="s">
        <v>65</v>
      </c>
      <c r="B70" s="5">
        <v>2025</v>
      </c>
      <c r="C70" s="25">
        <v>1414</v>
      </c>
      <c r="D70" s="22">
        <v>1948</v>
      </c>
      <c r="E70" s="17" t="s">
        <v>72</v>
      </c>
      <c r="F70" s="18">
        <f t="shared" si="8"/>
        <v>2.4006791171477078</v>
      </c>
      <c r="G70" s="18">
        <f>D70/E70</f>
        <v>3.3073005093378609</v>
      </c>
      <c r="H70" s="22">
        <v>96</v>
      </c>
      <c r="I70" s="22">
        <v>1.24</v>
      </c>
      <c r="J70" s="22">
        <v>41.1</v>
      </c>
      <c r="K70" s="22">
        <v>800</v>
      </c>
      <c r="L70" s="22">
        <v>1.62</v>
      </c>
      <c r="M70" s="22">
        <v>6.2</v>
      </c>
      <c r="N70" s="22">
        <v>3.2</v>
      </c>
      <c r="O70" s="22">
        <v>63</v>
      </c>
      <c r="P70" s="22">
        <v>1.41</v>
      </c>
      <c r="Q70" s="22">
        <v>4</v>
      </c>
      <c r="R70" s="22">
        <v>20.2</v>
      </c>
      <c r="S70" s="22">
        <v>393</v>
      </c>
      <c r="T70" s="22">
        <v>5.75</v>
      </c>
      <c r="U70" s="22">
        <v>43.8</v>
      </c>
      <c r="V70" s="22">
        <v>740</v>
      </c>
      <c r="W70" s="22">
        <v>2.11</v>
      </c>
    </row>
    <row r="71" spans="1:23" x14ac:dyDescent="0.3">
      <c r="A71" s="5" t="s">
        <v>65</v>
      </c>
      <c r="B71" s="5" t="s">
        <v>32</v>
      </c>
      <c r="C71" s="24">
        <v>10872</v>
      </c>
      <c r="D71" s="22">
        <v>14612</v>
      </c>
      <c r="F71" s="18"/>
      <c r="G71" s="18"/>
      <c r="H71" s="22">
        <v>96</v>
      </c>
      <c r="I71" s="22">
        <v>1.19</v>
      </c>
      <c r="J71" s="22">
        <v>37.799999999999997</v>
      </c>
      <c r="K71" s="22">
        <v>5529</v>
      </c>
      <c r="L71" s="22">
        <v>1.58</v>
      </c>
      <c r="M71" s="22">
        <v>26.1</v>
      </c>
      <c r="N71" s="22">
        <v>2.4</v>
      </c>
      <c r="O71" s="22">
        <v>353</v>
      </c>
      <c r="P71" s="22">
        <v>1.44</v>
      </c>
      <c r="Q71" s="22">
        <v>19.399999999999999</v>
      </c>
      <c r="R71" s="22">
        <v>17.899999999999999</v>
      </c>
      <c r="S71" s="22">
        <v>2611</v>
      </c>
      <c r="T71" s="22">
        <v>4.83</v>
      </c>
      <c r="U71" s="22">
        <v>40.9</v>
      </c>
      <c r="V71" s="22">
        <v>4880</v>
      </c>
      <c r="W71" s="22">
        <v>2.0299999999999998</v>
      </c>
    </row>
  </sheetData>
  <autoFilter ref="A1:W71" xr:uid="{07A6B285-2C99-482F-BAA7-77917DF2C52A}">
    <filterColumn colId="0">
      <filters>
        <filter val="北科大"/>
        <filter val="台灣"/>
        <filter val="高科大"/>
        <filter val="雲科大"/>
        <filter val="臺科大"/>
      </filters>
    </filterColumn>
  </autoFilter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selection activeCell="C6" sqref="C6"/>
    </sheetView>
  </sheetViews>
  <sheetFormatPr defaultColWidth="8.8984375" defaultRowHeight="15.6" x14ac:dyDescent="0.3"/>
  <cols>
    <col min="1" max="1" width="12.3984375" style="1" customWidth="1"/>
    <col min="2" max="2" width="13.59765625" style="1" customWidth="1"/>
    <col min="3" max="3" width="21.09765625" style="1" customWidth="1"/>
    <col min="4" max="4" width="8.69921875" style="1" customWidth="1"/>
    <col min="5" max="5" width="2.3984375" style="7" customWidth="1"/>
    <col min="6" max="6" width="22.69921875" style="2" customWidth="1"/>
    <col min="7" max="7" width="80.69921875" style="20" customWidth="1"/>
    <col min="8" max="8" width="2.296875" style="7" customWidth="1"/>
    <col min="9" max="16384" width="8.8984375" style="1"/>
  </cols>
  <sheetData>
    <row r="1" spans="1:11" x14ac:dyDescent="0.3">
      <c r="A1" s="1" t="s">
        <v>75</v>
      </c>
      <c r="F1" s="16" t="s">
        <v>76</v>
      </c>
      <c r="G1" s="19" t="s">
        <v>77</v>
      </c>
      <c r="H1" s="9"/>
    </row>
    <row r="2" spans="1:11" ht="46.8" x14ac:dyDescent="0.3">
      <c r="A2" s="1" t="s">
        <v>32</v>
      </c>
      <c r="B2" s="10" t="s">
        <v>78</v>
      </c>
      <c r="C2" s="31"/>
      <c r="D2" s="13"/>
      <c r="F2" s="14" t="s">
        <v>4</v>
      </c>
      <c r="G2" s="4" t="s">
        <v>79</v>
      </c>
      <c r="H2" s="9"/>
    </row>
    <row r="3" spans="1:11" x14ac:dyDescent="0.3">
      <c r="A3" s="1" t="s">
        <v>32</v>
      </c>
      <c r="B3" s="8" t="s">
        <v>80</v>
      </c>
      <c r="C3" s="13"/>
      <c r="D3" s="13"/>
      <c r="F3" s="14" t="s">
        <v>3</v>
      </c>
      <c r="G3" s="15" t="s">
        <v>81</v>
      </c>
      <c r="H3" s="9"/>
    </row>
    <row r="4" spans="1:11" ht="31.2" x14ac:dyDescent="0.3">
      <c r="A4" s="1" t="s">
        <v>32</v>
      </c>
      <c r="B4" s="8" t="s">
        <v>82</v>
      </c>
      <c r="C4" s="13"/>
      <c r="D4" s="13"/>
      <c r="F4" s="3" t="s">
        <v>8</v>
      </c>
      <c r="G4" s="4" t="s">
        <v>83</v>
      </c>
      <c r="H4" s="9"/>
    </row>
    <row r="5" spans="1:11" x14ac:dyDescent="0.3">
      <c r="F5" s="3" t="s">
        <v>73</v>
      </c>
      <c r="G5" s="4" t="s">
        <v>84</v>
      </c>
      <c r="H5" s="9"/>
    </row>
    <row r="6" spans="1:11" x14ac:dyDescent="0.3">
      <c r="F6" s="3" t="s">
        <v>10</v>
      </c>
      <c r="G6" s="4" t="s">
        <v>85</v>
      </c>
      <c r="H6" s="9"/>
      <c r="I6" s="6"/>
    </row>
    <row r="7" spans="1:11" x14ac:dyDescent="0.3">
      <c r="A7" t="s">
        <v>86</v>
      </c>
      <c r="F7" s="3" t="s">
        <v>11</v>
      </c>
      <c r="G7" s="4" t="s">
        <v>87</v>
      </c>
      <c r="H7" s="9"/>
      <c r="I7" s="2" t="s">
        <v>88</v>
      </c>
    </row>
    <row r="8" spans="1:11" ht="31.2" x14ac:dyDescent="0.3">
      <c r="A8" s="2" t="s">
        <v>89</v>
      </c>
      <c r="F8" s="3" t="s">
        <v>12</v>
      </c>
      <c r="G8" s="4" t="s">
        <v>90</v>
      </c>
      <c r="H8" s="9"/>
    </row>
    <row r="9" spans="1:11" ht="31.2" x14ac:dyDescent="0.3">
      <c r="A9" s="34" t="s">
        <v>91</v>
      </c>
      <c r="B9" s="34"/>
      <c r="C9" s="34"/>
      <c r="D9" s="34"/>
      <c r="F9" s="3" t="s">
        <v>74</v>
      </c>
      <c r="G9" s="4" t="s">
        <v>92</v>
      </c>
      <c r="H9" s="9"/>
    </row>
    <row r="10" spans="1:11" ht="31.2" x14ac:dyDescent="0.3">
      <c r="A10" s="34"/>
      <c r="B10" s="34"/>
      <c r="C10" s="34"/>
      <c r="D10" s="34"/>
      <c r="F10" s="3" t="s">
        <v>14</v>
      </c>
      <c r="G10" s="4" t="s">
        <v>93</v>
      </c>
    </row>
    <row r="11" spans="1:11" ht="31.2" x14ac:dyDescent="0.3">
      <c r="A11" s="34"/>
      <c r="B11" s="34"/>
      <c r="C11" s="34"/>
      <c r="D11" s="34"/>
      <c r="F11" s="3" t="s">
        <v>15</v>
      </c>
      <c r="G11" s="4" t="s">
        <v>94</v>
      </c>
      <c r="I11" s="2" t="s">
        <v>95</v>
      </c>
    </row>
    <row r="12" spans="1:11" ht="46.8" x14ac:dyDescent="0.3">
      <c r="A12" s="34"/>
      <c r="B12" s="34"/>
      <c r="C12" s="34"/>
      <c r="D12" s="34"/>
      <c r="F12" s="3" t="s">
        <v>16</v>
      </c>
      <c r="G12" s="4" t="s">
        <v>96</v>
      </c>
    </row>
    <row r="13" spans="1:11" ht="46.8" x14ac:dyDescent="0.3">
      <c r="A13" s="34" t="s">
        <v>97</v>
      </c>
      <c r="B13" s="34"/>
      <c r="C13" s="34"/>
      <c r="D13" s="34"/>
      <c r="F13" s="3" t="s">
        <v>7</v>
      </c>
      <c r="G13" s="4" t="s">
        <v>98</v>
      </c>
    </row>
    <row r="14" spans="1:11" ht="46.8" x14ac:dyDescent="0.3">
      <c r="A14" s="1" t="s">
        <v>99</v>
      </c>
      <c r="B14" s="1" t="s">
        <v>100</v>
      </c>
      <c r="F14" s="3" t="s">
        <v>101</v>
      </c>
      <c r="G14" s="4" t="s">
        <v>102</v>
      </c>
    </row>
    <row r="15" spans="1:11" ht="31.2" x14ac:dyDescent="0.3">
      <c r="F15" s="3" t="s">
        <v>103</v>
      </c>
      <c r="G15" s="4" t="s">
        <v>104</v>
      </c>
      <c r="K15" s="1" t="s">
        <v>105</v>
      </c>
    </row>
    <row r="16" spans="1:11" ht="31.2" x14ac:dyDescent="0.3">
      <c r="F16" s="11" t="s">
        <v>106</v>
      </c>
      <c r="G16" s="4" t="s">
        <v>107</v>
      </c>
      <c r="I16" s="2" t="s">
        <v>108</v>
      </c>
    </row>
    <row r="17" spans="6:9" ht="46.8" x14ac:dyDescent="0.3">
      <c r="F17" s="3" t="s">
        <v>109</v>
      </c>
      <c r="G17" s="4" t="s">
        <v>110</v>
      </c>
    </row>
    <row r="18" spans="6:9" ht="46.8" x14ac:dyDescent="0.3">
      <c r="F18" s="3" t="s">
        <v>21</v>
      </c>
      <c r="G18" s="4" t="s">
        <v>111</v>
      </c>
    </row>
    <row r="19" spans="6:9" ht="46.8" x14ac:dyDescent="0.3">
      <c r="F19" s="11" t="s">
        <v>112</v>
      </c>
      <c r="G19" s="4" t="s">
        <v>113</v>
      </c>
      <c r="I19" s="2" t="s">
        <v>108</v>
      </c>
    </row>
  </sheetData>
  <mergeCells count="2">
    <mergeCell ref="A9:D12"/>
    <mergeCell ref="A13:D13"/>
  </mergeCells>
  <hyperlinks>
    <hyperlink ref="B2" r:id="rId1" xr:uid="{00000000-0004-0000-0300-000000000000}"/>
    <hyperlink ref="G2" r:id="rId2" xr:uid="{00000000-0004-0000-0300-000001000000}"/>
    <hyperlink ref="B3" r:id="rId3" xr:uid="{00000000-0004-0000-0300-000002000000}"/>
    <hyperlink ref="B4" r:id="rId4" xr:uid="{00000000-0004-0000-03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.6" x14ac:dyDescent="0.3"/>
  <cols>
    <col min="2" max="2" width="53.3984375" customWidth="1"/>
    <col min="4" max="4" width="24.296875" customWidth="1"/>
  </cols>
  <sheetData>
    <row r="1" spans="1:3" x14ac:dyDescent="0.3">
      <c r="B1" t="s">
        <v>114</v>
      </c>
      <c r="C1" t="s">
        <v>115</v>
      </c>
    </row>
    <row r="2" spans="1:3" x14ac:dyDescent="0.3">
      <c r="A2" t="s">
        <v>34</v>
      </c>
      <c r="B2" t="s">
        <v>116</v>
      </c>
      <c r="C2" t="s">
        <v>117</v>
      </c>
    </row>
    <row r="3" spans="1:3" x14ac:dyDescent="0.3">
      <c r="A3" t="s">
        <v>52</v>
      </c>
      <c r="B3" t="s">
        <v>118</v>
      </c>
      <c r="C3" t="s">
        <v>119</v>
      </c>
    </row>
    <row r="4" spans="1:3" x14ac:dyDescent="0.3">
      <c r="A4" t="s">
        <v>44</v>
      </c>
      <c r="B4" t="s">
        <v>120</v>
      </c>
      <c r="C4" t="s">
        <v>121</v>
      </c>
    </row>
    <row r="5" spans="1:3" x14ac:dyDescent="0.3">
      <c r="A5" t="s">
        <v>23</v>
      </c>
      <c r="B5" t="s">
        <v>122</v>
      </c>
      <c r="C5" t="s">
        <v>123</v>
      </c>
    </row>
    <row r="6" spans="1:3" x14ac:dyDescent="0.3">
      <c r="A6" t="s">
        <v>65</v>
      </c>
      <c r="B6" t="s">
        <v>124</v>
      </c>
      <c r="C6" t="s">
        <v>125</v>
      </c>
    </row>
    <row r="7" spans="1:3" x14ac:dyDescent="0.3">
      <c r="A7" t="s">
        <v>59</v>
      </c>
      <c r="B7" t="s">
        <v>126</v>
      </c>
      <c r="C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General</vt:lpstr>
      <vt:lpstr>Scource</vt:lpstr>
      <vt:lpstr>Universities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Chiaowen</cp:lastModifiedBy>
  <dcterms:modified xsi:type="dcterms:W3CDTF">2026-08-14T08:47:06Z</dcterms:modified>
</cp:coreProperties>
</file>