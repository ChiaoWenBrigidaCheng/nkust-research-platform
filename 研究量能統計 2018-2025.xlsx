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喬文作業區\研究量能追蹤平台\"/>
    </mc:Choice>
  </mc:AlternateContent>
  <xr:revisionPtr revIDLastSave="0" documentId="13_ncr:1_{0CA932F7-38F2-4FB9-9910-1DDE1FFF4248}" xr6:coauthVersionLast="36" xr6:coauthVersionMax="47" xr10:uidLastSave="{00000000-0000-0000-0000-000000000000}"/>
  <bookViews>
    <workbookView xWindow="0" yWindow="0" windowWidth="23040" windowHeight="8556" activeTab="3" xr2:uid="{00000000-000D-0000-FFFF-FFFF00000000}"/>
  </bookViews>
  <sheets>
    <sheet name="General" sheetId="1" r:id="rId1"/>
    <sheet name="THE" sheetId="2" r:id="rId2"/>
    <sheet name="QS" sheetId="6" r:id="rId3"/>
    <sheet name="Scource" sheetId="5" r:id="rId4"/>
    <sheet name="Universities" sheetId="8" r:id="rId5"/>
  </sheets>
  <definedNames>
    <definedName name="_xlnm._FilterDatabase" localSheetId="0" hidden="1">General!$A$1:$W$64</definedName>
    <definedName name="_xlnm._FilterDatabase" localSheetId="2" hidden="1">QS!$A$1:$I$1</definedName>
    <definedName name="_xlnm._FilterDatabase" localSheetId="1" hidden="1">THE!$A$1:$I$1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" l="1"/>
  <c r="G20" i="1"/>
  <c r="G2" i="1" l="1"/>
  <c r="F49" i="1"/>
  <c r="G32" i="1" l="1"/>
  <c r="F31" i="1"/>
  <c r="G62" i="1" l="1"/>
  <c r="G53" i="1"/>
  <c r="G44" i="1"/>
  <c r="G35" i="1"/>
  <c r="G34" i="1"/>
  <c r="G33" i="1"/>
  <c r="G24" i="1"/>
  <c r="G25" i="1"/>
  <c r="G26" i="1"/>
  <c r="G8" i="1"/>
  <c r="F33" i="1"/>
  <c r="F34" i="1"/>
  <c r="F35" i="1"/>
  <c r="F24" i="1"/>
  <c r="F25" i="1"/>
  <c r="F26" i="1"/>
  <c r="F6" i="1"/>
  <c r="F7" i="1"/>
  <c r="F8" i="1"/>
  <c r="F60" i="1"/>
  <c r="F61" i="1"/>
  <c r="F62" i="1"/>
  <c r="F51" i="1"/>
  <c r="F52" i="1"/>
  <c r="F53" i="1"/>
  <c r="F50" i="1"/>
  <c r="F42" i="1"/>
  <c r="F43" i="1"/>
  <c r="F44" i="1"/>
  <c r="F29" i="1" l="1"/>
  <c r="G29" i="1"/>
  <c r="F38" i="1"/>
  <c r="G23" i="1" l="1"/>
  <c r="G42" i="1" l="1"/>
  <c r="G43" i="1"/>
  <c r="G52" i="1"/>
  <c r="G61" i="1"/>
  <c r="G7" i="1"/>
  <c r="G3" i="1" l="1"/>
  <c r="G4" i="1"/>
  <c r="G5" i="1"/>
  <c r="G56" i="1"/>
  <c r="G57" i="1"/>
  <c r="G58" i="1"/>
  <c r="G59" i="1"/>
  <c r="G21" i="1"/>
  <c r="G22" i="1"/>
  <c r="G30" i="1"/>
  <c r="G31" i="1"/>
  <c r="G38" i="1"/>
  <c r="G39" i="1"/>
  <c r="G40" i="1"/>
  <c r="G41" i="1"/>
  <c r="G47" i="1"/>
  <c r="G48" i="1"/>
  <c r="G49" i="1"/>
  <c r="G50" i="1"/>
  <c r="F2" i="1"/>
  <c r="F3" i="1"/>
  <c r="F4" i="1"/>
  <c r="F5" i="1"/>
  <c r="F56" i="1"/>
  <c r="F57" i="1"/>
  <c r="F58" i="1"/>
  <c r="F59" i="1"/>
  <c r="F21" i="1"/>
  <c r="F22" i="1"/>
  <c r="F23" i="1"/>
  <c r="F30" i="1"/>
  <c r="F32" i="1"/>
  <c r="F39" i="1"/>
  <c r="F40" i="1"/>
  <c r="F41" i="1"/>
  <c r="F47" i="1"/>
  <c r="F48" i="1"/>
</calcChain>
</file>

<file path=xl/sharedStrings.xml><?xml version="1.0" encoding="utf-8"?>
<sst xmlns="http://schemas.openxmlformats.org/spreadsheetml/2006/main" count="1391" uniqueCount="145">
  <si>
    <t>學校</t>
  </si>
  <si>
    <t>年度</t>
  </si>
  <si>
    <t>WOS發表數</t>
  </si>
  <si>
    <t>Scopus發表數</t>
  </si>
  <si>
    <t>教研人數</t>
  </si>
  <si>
    <t>WOS每師平均</t>
  </si>
  <si>
    <t>Scopus每師平均</t>
  </si>
  <si>
    <t>h5-index</t>
  </si>
  <si>
    <t>FWCI</t>
  </si>
  <si>
    <t>國際合著論文比</t>
  </si>
  <si>
    <t>國際合著論文影響力</t>
  </si>
  <si>
    <t>產學合著論文比</t>
  </si>
  <si>
    <t>產學合著論文影響力</t>
  </si>
  <si>
    <t>北科大</t>
  </si>
  <si>
    <t>虎科大</t>
  </si>
  <si>
    <t>屏科大</t>
  </si>
  <si>
    <t>高科大</t>
  </si>
  <si>
    <t>雲科大</t>
  </si>
  <si>
    <t>領域別</t>
  </si>
  <si>
    <t>Arts &amp; Humanities</t>
  </si>
  <si>
    <t>-</t>
  </si>
  <si>
    <t>Social Sciences &amp; Management</t>
  </si>
  <si>
    <t>Natural Sciences</t>
  </si>
  <si>
    <t>Engineering &amp; Technology</t>
  </si>
  <si>
    <t>高科大</t>
    <phoneticPr fontId="1" type="noConversion"/>
  </si>
  <si>
    <t>屏科大</t>
    <phoneticPr fontId="1" type="noConversion"/>
  </si>
  <si>
    <t>北科大</t>
    <phoneticPr fontId="1" type="noConversion"/>
  </si>
  <si>
    <t>雲科大</t>
    <phoneticPr fontId="1" type="noConversion"/>
  </si>
  <si>
    <t>學校</t>
    <phoneticPr fontId="1" type="noConversion"/>
  </si>
  <si>
    <t>國際合著論文FWCI</t>
    <phoneticPr fontId="1" type="noConversion"/>
  </si>
  <si>
    <t>產學合著論文FWCI</t>
    <phoneticPr fontId="1" type="noConversion"/>
  </si>
  <si>
    <t>高品質期刊論文FWCI</t>
    <phoneticPr fontId="1" type="noConversion"/>
  </si>
  <si>
    <t>國際合著論文數</t>
    <phoneticPr fontId="1" type="noConversion"/>
  </si>
  <si>
    <t>產學合著論文數</t>
    <phoneticPr fontId="1" type="noConversion"/>
  </si>
  <si>
    <t>SciVal-THE指標</t>
    <phoneticPr fontId="1" type="noConversion"/>
  </si>
  <si>
    <t>期間</t>
    <phoneticPr fontId="1" type="noConversion"/>
  </si>
  <si>
    <t>更新</t>
    <phoneticPr fontId="1" type="noConversion"/>
  </si>
  <si>
    <t>Life Sciences</t>
    <phoneticPr fontId="1" type="noConversion"/>
  </si>
  <si>
    <t>Physical Sciences</t>
  </si>
  <si>
    <t>Social Sciences</t>
  </si>
  <si>
    <t>Life Sciences &amp; Medicine</t>
    <phoneticPr fontId="1" type="noConversion"/>
  </si>
  <si>
    <t/>
  </si>
  <si>
    <t>SciVal-QS指標</t>
    <phoneticPr fontId="1" type="noConversion"/>
  </si>
  <si>
    <t>指標</t>
    <phoneticPr fontId="1" type="noConversion"/>
  </si>
  <si>
    <t>The number of publications of a selected entity.</t>
    <phoneticPr fontId="1" type="noConversion"/>
  </si>
  <si>
    <t>A measure of both the productivity and citation impact of an entity, based on the number of publications as well as the number of citations they have received. 
h5-index is h-index for the past 5 years.</t>
    <phoneticPr fontId="1" type="noConversion"/>
  </si>
  <si>
    <t>The ratio of citations received relative to the expected world average for the subject field, publication type and publication year.  The world average FWCI is 1.00. (Mean)</t>
    <phoneticPr fontId="1" type="noConversion"/>
  </si>
  <si>
    <t>Output in Top 10% Citation Percentiles (%)
The number of publications of a selected entity that are highly cited, having reached a particular threshold of citations received.</t>
    <phoneticPr fontId="1" type="noConversion"/>
  </si>
  <si>
    <t>國際合著論文FWCI</t>
  </si>
  <si>
    <t>國際合著論文數</t>
    <phoneticPr fontId="1" type="noConversion"/>
  </si>
  <si>
    <t>產學合著論文數</t>
    <phoneticPr fontId="1" type="noConversion"/>
  </si>
  <si>
    <t>產學合著論文FWCI</t>
    <phoneticPr fontId="1" type="noConversion"/>
  </si>
  <si>
    <t>高倍引論文占比</t>
    <phoneticPr fontId="1" type="noConversion"/>
  </si>
  <si>
    <t>高倍引論文數</t>
    <phoneticPr fontId="1" type="noConversion"/>
  </si>
  <si>
    <t>高品質期刊占比</t>
    <phoneticPr fontId="1" type="noConversion"/>
  </si>
  <si>
    <t>高品質期刊論文數</t>
    <phoneticPr fontId="1" type="noConversion"/>
  </si>
  <si>
    <t>高品質期刊FWCI</t>
    <phoneticPr fontId="1" type="noConversion"/>
  </si>
  <si>
    <t>國際合著論文比 %</t>
    <phoneticPr fontId="1" type="noConversion"/>
  </si>
  <si>
    <t>產學合著論文比 %</t>
    <phoneticPr fontId="1" type="noConversion"/>
  </si>
  <si>
    <t>台灣</t>
    <phoneticPr fontId="1" type="noConversion"/>
  </si>
  <si>
    <t>高品質期刊論文占比 %</t>
    <phoneticPr fontId="1" type="noConversion"/>
  </si>
  <si>
    <t>臺科大</t>
    <phoneticPr fontId="1" type="noConversion"/>
  </si>
  <si>
    <t>高倍引論文FWCI</t>
    <phoneticPr fontId="1" type="noConversion"/>
  </si>
  <si>
    <t>虎科大</t>
    <phoneticPr fontId="1" type="noConversion"/>
  </si>
  <si>
    <t>臺科大</t>
    <phoneticPr fontId="1" type="noConversion"/>
  </si>
  <si>
    <t>National Formosa University</t>
    <phoneticPr fontId="1" type="noConversion"/>
  </si>
  <si>
    <t>National Kaohsiung University of Science and Technology</t>
    <phoneticPr fontId="1" type="noConversion"/>
  </si>
  <si>
    <t>National Pingtung University of Science and Technology</t>
    <phoneticPr fontId="1" type="noConversion"/>
  </si>
  <si>
    <t>National Taipei University of Technology</t>
    <phoneticPr fontId="1" type="noConversion"/>
  </si>
  <si>
    <t>National Taiwan University of Science and Technology</t>
    <phoneticPr fontId="1" type="noConversion"/>
  </si>
  <si>
    <t>National Yunlin University of Science and Technology</t>
    <phoneticPr fontId="1" type="noConversion"/>
  </si>
  <si>
    <t>General (ASJC)</t>
    <phoneticPr fontId="1" type="noConversion"/>
  </si>
  <si>
    <t xml:space="preserve"> </t>
    <phoneticPr fontId="1" type="noConversion"/>
  </si>
  <si>
    <t>北科大</t>
    <phoneticPr fontId="1" type="noConversion"/>
  </si>
  <si>
    <t>臺科大</t>
    <phoneticPr fontId="1" type="noConversion"/>
  </si>
  <si>
    <t>Physical Sciences</t>
    <phoneticPr fontId="1" type="noConversion"/>
  </si>
  <si>
    <t>Social Sciences &amp; Management</t>
    <phoneticPr fontId="1" type="noConversion"/>
  </si>
  <si>
    <t>高被引論文占比 %</t>
    <phoneticPr fontId="1" type="noConversion"/>
  </si>
  <si>
    <t>高被引論文數</t>
    <phoneticPr fontId="1" type="noConversion"/>
  </si>
  <si>
    <t>高被引論文FWCI</t>
    <phoneticPr fontId="1" type="noConversion"/>
  </si>
  <si>
    <t>Business and Economics</t>
  </si>
  <si>
    <t>2018-2025</t>
  </si>
  <si>
    <t>2026.07.13</t>
  </si>
  <si>
    <t>Document Types: All publication types</t>
  </si>
  <si>
    <t xml:space="preserve">大專校院資訊公開平台
https://udb.moe.edu.tw/udata/DetailReportList/%E6%95%99%E8%81%B7%E9%A1%9E/StatUniversityRegularTeacher/Index </t>
  </si>
  <si>
    <t>Engineering</t>
  </si>
  <si>
    <t>469</t>
  </si>
  <si>
    <t>471</t>
  </si>
  <si>
    <t>459</t>
  </si>
  <si>
    <t>463</t>
  </si>
  <si>
    <t>479</t>
  </si>
  <si>
    <t>495</t>
  </si>
  <si>
    <t>494</t>
  </si>
  <si>
    <t>488</t>
  </si>
  <si>
    <t>335</t>
  </si>
  <si>
    <t>342</t>
  </si>
  <si>
    <t>347</t>
  </si>
  <si>
    <t>349</t>
  </si>
  <si>
    <t>353</t>
  </si>
  <si>
    <t>372</t>
  </si>
  <si>
    <t>364</t>
  </si>
  <si>
    <t>366</t>
  </si>
  <si>
    <t>411</t>
  </si>
  <si>
    <t>404</t>
  </si>
  <si>
    <t>433</t>
  </si>
  <si>
    <t>403</t>
  </si>
  <si>
    <t>445</t>
  </si>
  <si>
    <t>447</t>
  </si>
  <si>
    <t>441</t>
  </si>
  <si>
    <t>871</t>
  </si>
  <si>
    <t>864</t>
  </si>
  <si>
    <t>860</t>
  </si>
  <si>
    <t>839</t>
  </si>
  <si>
    <t>862</t>
  </si>
  <si>
    <t>858</t>
  </si>
  <si>
    <t>420</t>
  </si>
  <si>
    <t>425</t>
  </si>
  <si>
    <t>418</t>
  </si>
  <si>
    <t>406</t>
  </si>
  <si>
    <t>410</t>
  </si>
  <si>
    <t>499</t>
  </si>
  <si>
    <t>532</t>
  </si>
  <si>
    <t>560</t>
  </si>
  <si>
    <t>522</t>
  </si>
  <si>
    <t>553</t>
  </si>
  <si>
    <t>572</t>
  </si>
  <si>
    <t>589</t>
  </si>
  <si>
    <t>資料取得方式：參考教學影片</t>
  </si>
  <si>
    <t>Publications in Top 10 Journal Percentiles (CiteScore Percentile)
The number of publications of a selected entity that have been published in the world's top journals. (%)</t>
  </si>
  <si>
    <t>指標說明</t>
  </si>
  <si>
    <t>The number of publications of a selected entity that are highly cited, having reached a particular threshold of citations received.</t>
  </si>
  <si>
    <t>Geographical collaboration &gt; publication set &gt; summary download</t>
  </si>
  <si>
    <t>Academic-corporate collaboration &gt; publication set &gt; summary download</t>
  </si>
  <si>
    <t>Citations per publication received by those publications that have authors with an academic affiliation as well as authors of affiliation(s) of another sector (corporate, government, medical or other).</t>
  </si>
  <si>
    <t>FWCI of a selected entity that are highly cited, having reached a particular threshold of citations received.</t>
  </si>
  <si>
    <t xml:space="preserve">Publications in Top 10 Journal Percentiles (CiteScore Percentile)
The number of publications of a selected entity that have been published in the world's top journals. </t>
  </si>
  <si>
    <t xml:space="preserve">Publications in Top 10 Journal Percentiles (CiteScore Percentile)
FWCI of publications of a selected entity that have been published in the world's top journals. </t>
  </si>
  <si>
    <t>The extent of international co-authorship.</t>
  </si>
  <si>
    <t>The extent of international co-authorship. (%)</t>
  </si>
  <si>
    <t>The average number of citations received by publications that have international co-authorship.</t>
  </si>
  <si>
    <t>Collaboration between author(s) with an academic affiliation and author(s) with affiliation(s) of another sector (corporate).(%)</t>
  </si>
  <si>
    <t>Collaboration between author(s) with an academic affiliation and author(s) with affiliation(s) of another sector (corporate).</t>
  </si>
  <si>
    <t>FWCI of the collaboration between author(s) with an academic affiliation and author(s) with affiliation(s) of another sector (corporate).</t>
  </si>
  <si>
    <t>FWCI of the extent international co-authorship</t>
  </si>
  <si>
    <t>熱門關鍵字 Keyphrase analysis: publication set &gt; scroll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</si>
</sst>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rgb="FFFF0000"/>
      <name val="Calibri"/>
      <family val="1"/>
      <charset val="136"/>
      <scheme val="minor"/>
    </font>
    <font>
      <sz val="12"/>
      <name val="Calibri"/>
      <family val="1"/>
      <charset val="136"/>
      <scheme val="minor"/>
    </font>
    <font>
      <u/>
      <sz val="12"/>
      <color theme="1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0" borderId="0" xfId="1" applyBorder="1" applyAlignment="1">
      <alignment horizontal="center" vertical="center"/>
    </xf>
    <xf numFmtId="0" fontId="0" fillId="3" borderId="0" xfId="0" applyFill="1">
      <alignment vertical="center"/>
    </xf>
    <xf numFmtId="0" fontId="4" fillId="0" borderId="0" xfId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/>
    <xf numFmtId="0" fontId="8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0" fillId="0" borderId="0" xfId="0" applyNumberFormat="1" applyAlignment="1"/>
    <xf numFmtId="2" fontId="7" fillId="0" borderId="0" xfId="0" applyNumberFormat="1" applyFont="1" applyAlignment="1">
      <alignment horizontal="right"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../114/114%20&#26412;&#26657;&#29986;&#23416;&#30740;&#30332;&#37327;&#33021;/Multiple_Metrics%20(2018-2024).xlsx" TargetMode="External"/><Relationship Id="rId2" Type="http://schemas.openxmlformats.org/officeDocument/2006/relationships/hyperlink" Target="..\114\114%20&#26412;&#26657;&#29986;&#23416;&#30740;&#30332;&#37327;&#33021;\THE%20&#25351;&#27161;" TargetMode="External"/><Relationship Id="rId1" Type="http://schemas.openxmlformats.org/officeDocument/2006/relationships/hyperlink" Target="../114/114%20&#26412;&#26657;&#29986;&#23416;&#30740;&#30332;&#37327;&#33021;/QS%20&#25351;&#27161;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udb.moe.edu.tw/udata/DetailReportList/%E6%95%99%E8%81%B7%E9%A1%9E/StatUniversityRegularTeacher/Inde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"/>
  <sheetViews>
    <sheetView workbookViewId="0">
      <pane xSplit="2" ySplit="1" topLeftCell="I26" activePane="bottomRight" state="frozen"/>
      <selection pane="topRight" activeCell="C1" sqref="C1"/>
      <selection pane="bottomLeft" activeCell="A2" sqref="A2"/>
      <selection pane="bottomRight" activeCell="L46" sqref="L46"/>
    </sheetView>
  </sheetViews>
  <sheetFormatPr defaultColWidth="8.8984375" defaultRowHeight="15.6"/>
  <cols>
    <col min="1" max="1" width="8.8984375" style="6"/>
    <col min="2" max="2" width="9.296875" style="6" customWidth="1"/>
    <col min="3" max="3" width="17.3984375" style="20" customWidth="1"/>
    <col min="4" max="4" width="14.296875" style="6" customWidth="1"/>
    <col min="5" max="5" width="14.8984375" style="17" customWidth="1"/>
    <col min="6" max="6" width="20" style="17" customWidth="1"/>
    <col min="7" max="7" width="21.19921875" style="17" customWidth="1"/>
    <col min="8" max="8" width="13.09765625" style="6" customWidth="1"/>
    <col min="9" max="9" width="11.19921875" style="6" customWidth="1"/>
    <col min="10" max="10" width="22.19921875" style="6" customWidth="1"/>
    <col min="11" max="11" width="23.3984375" style="7" customWidth="1"/>
    <col min="12" max="12" width="25.3984375" style="6" customWidth="1"/>
    <col min="13" max="13" width="27.09765625" style="6" customWidth="1"/>
    <col min="14" max="14" width="20.796875" style="6" customWidth="1"/>
    <col min="15" max="15" width="20.796875" style="7" customWidth="1"/>
    <col min="16" max="16" width="20.796875" style="6" customWidth="1"/>
    <col min="17" max="17" width="25.09765625" style="6" customWidth="1"/>
    <col min="18" max="18" width="20.296875" style="6" customWidth="1"/>
    <col min="19" max="19" width="19.796875" style="7" customWidth="1"/>
    <col min="20" max="20" width="21.3984375" style="6" customWidth="1"/>
    <col min="21" max="21" width="22.69921875" style="6" customWidth="1"/>
    <col min="22" max="22" width="22.69921875" style="7" customWidth="1"/>
    <col min="23" max="23" width="23.3984375" style="6" bestFit="1" customWidth="1"/>
    <col min="24" max="16384" width="8.8984375" style="6"/>
  </cols>
  <sheetData>
    <row r="1" spans="1:23">
      <c r="A1" s="6" t="s">
        <v>28</v>
      </c>
      <c r="B1" s="6" t="s">
        <v>1</v>
      </c>
      <c r="C1" s="2" t="s">
        <v>2</v>
      </c>
      <c r="D1" s="6" t="s">
        <v>3</v>
      </c>
      <c r="E1" s="15" t="s">
        <v>4</v>
      </c>
      <c r="F1" s="2" t="s">
        <v>5</v>
      </c>
      <c r="G1" s="2" t="s">
        <v>6</v>
      </c>
      <c r="H1" s="6" t="s">
        <v>7</v>
      </c>
      <c r="I1" s="6" t="s">
        <v>8</v>
      </c>
      <c r="J1" s="6" t="s">
        <v>57</v>
      </c>
      <c r="K1" s="7" t="s">
        <v>32</v>
      </c>
      <c r="L1" s="2" t="s">
        <v>29</v>
      </c>
      <c r="M1" s="6" t="s">
        <v>10</v>
      </c>
      <c r="N1" s="6" t="s">
        <v>58</v>
      </c>
      <c r="O1" s="7" t="s">
        <v>33</v>
      </c>
      <c r="P1" s="2" t="s">
        <v>30</v>
      </c>
      <c r="Q1" s="6" t="s">
        <v>12</v>
      </c>
      <c r="R1" s="6" t="s">
        <v>77</v>
      </c>
      <c r="S1" s="7" t="s">
        <v>78</v>
      </c>
      <c r="T1" s="14" t="s">
        <v>79</v>
      </c>
      <c r="U1" s="6" t="s">
        <v>60</v>
      </c>
      <c r="V1" s="7" t="s">
        <v>55</v>
      </c>
      <c r="W1" s="2" t="s">
        <v>31</v>
      </c>
    </row>
    <row r="2" spans="1:23">
      <c r="A2" s="6" t="s">
        <v>73</v>
      </c>
      <c r="B2" s="6">
        <v>2018</v>
      </c>
      <c r="C2" s="32">
        <v>828</v>
      </c>
      <c r="D2" s="26">
        <v>1222</v>
      </c>
      <c r="E2" s="25" t="s">
        <v>86</v>
      </c>
      <c r="F2" s="33">
        <f t="shared" ref="F2:F8" si="0">C2/E2</f>
        <v>1.7654584221748402</v>
      </c>
      <c r="G2" s="28">
        <f>D2/E2</f>
        <v>2.6055437100213221</v>
      </c>
      <c r="H2" s="26">
        <v>50</v>
      </c>
      <c r="I2" s="26">
        <v>0.91</v>
      </c>
      <c r="J2" s="26">
        <v>31.8</v>
      </c>
      <c r="K2" s="26">
        <v>388</v>
      </c>
      <c r="L2" s="29">
        <v>1.25</v>
      </c>
      <c r="M2" s="26">
        <v>33.700000000000003</v>
      </c>
      <c r="N2" s="26">
        <v>2.9</v>
      </c>
      <c r="O2" s="26">
        <v>35</v>
      </c>
      <c r="P2" s="29">
        <v>0.67</v>
      </c>
      <c r="Q2" s="29">
        <v>21.9</v>
      </c>
      <c r="R2" s="29">
        <v>11.9</v>
      </c>
      <c r="S2" s="29">
        <v>145</v>
      </c>
      <c r="T2" s="29">
        <v>4.18</v>
      </c>
      <c r="U2" s="29">
        <v>31.1</v>
      </c>
      <c r="V2" s="29">
        <v>279</v>
      </c>
      <c r="W2" s="29">
        <v>1.77</v>
      </c>
    </row>
    <row r="3" spans="1:23">
      <c r="A3" s="6" t="s">
        <v>13</v>
      </c>
      <c r="B3" s="6">
        <v>2019</v>
      </c>
      <c r="C3" s="32">
        <v>923</v>
      </c>
      <c r="D3" s="26">
        <v>1233</v>
      </c>
      <c r="E3" s="25" t="s">
        <v>87</v>
      </c>
      <c r="F3" s="33">
        <f t="shared" si="0"/>
        <v>1.9596602972399151</v>
      </c>
      <c r="G3" s="28">
        <f>D3/E3</f>
        <v>2.6178343949044587</v>
      </c>
      <c r="H3" s="26">
        <v>55</v>
      </c>
      <c r="I3" s="26">
        <v>1.06</v>
      </c>
      <c r="J3" s="26">
        <v>34.5</v>
      </c>
      <c r="K3" s="26">
        <v>426</v>
      </c>
      <c r="L3" s="29">
        <v>1.48</v>
      </c>
      <c r="M3" s="26">
        <v>37.6</v>
      </c>
      <c r="N3" s="26">
        <v>2.9</v>
      </c>
      <c r="O3" s="26">
        <v>36</v>
      </c>
      <c r="P3" s="29">
        <v>0.74</v>
      </c>
      <c r="Q3" s="29">
        <v>10.8</v>
      </c>
      <c r="R3" s="29">
        <v>15.2</v>
      </c>
      <c r="S3" s="29">
        <v>187</v>
      </c>
      <c r="T3" s="29">
        <v>4.17</v>
      </c>
      <c r="U3" s="29">
        <v>32</v>
      </c>
      <c r="V3" s="29">
        <v>317</v>
      </c>
      <c r="W3" s="29">
        <v>2.17</v>
      </c>
    </row>
    <row r="4" spans="1:23">
      <c r="A4" s="6" t="s">
        <v>13</v>
      </c>
      <c r="B4" s="6">
        <v>2020</v>
      </c>
      <c r="C4" s="32">
        <v>1049</v>
      </c>
      <c r="D4" s="26">
        <v>1381</v>
      </c>
      <c r="E4" s="25" t="s">
        <v>88</v>
      </c>
      <c r="F4" s="33">
        <f t="shared" si="0"/>
        <v>2.2854030501089326</v>
      </c>
      <c r="G4" s="28">
        <f>D4/E4</f>
        <v>3.0087145969498912</v>
      </c>
      <c r="H4" s="26">
        <v>61</v>
      </c>
      <c r="I4" s="26">
        <v>1.04</v>
      </c>
      <c r="J4" s="26">
        <v>36.1</v>
      </c>
      <c r="K4" s="26">
        <v>498</v>
      </c>
      <c r="L4" s="29">
        <v>1.38</v>
      </c>
      <c r="M4" s="26">
        <v>32.9</v>
      </c>
      <c r="N4" s="26">
        <v>3</v>
      </c>
      <c r="O4" s="26">
        <v>42</v>
      </c>
      <c r="P4" s="29">
        <v>0.97</v>
      </c>
      <c r="Q4" s="29">
        <v>19</v>
      </c>
      <c r="R4" s="29">
        <v>16.399999999999999</v>
      </c>
      <c r="S4" s="29">
        <v>227</v>
      </c>
      <c r="T4" s="29">
        <v>4.24</v>
      </c>
      <c r="U4" s="29">
        <v>34.9</v>
      </c>
      <c r="V4" s="29">
        <v>408</v>
      </c>
      <c r="W4" s="29">
        <v>1.74</v>
      </c>
    </row>
    <row r="5" spans="1:23">
      <c r="A5" s="6" t="s">
        <v>13</v>
      </c>
      <c r="B5" s="6">
        <v>2021</v>
      </c>
      <c r="C5" s="32">
        <v>1215</v>
      </c>
      <c r="D5" s="26">
        <v>1463</v>
      </c>
      <c r="E5" s="25" t="s">
        <v>89</v>
      </c>
      <c r="F5" s="33">
        <f t="shared" si="0"/>
        <v>2.6241900647948162</v>
      </c>
      <c r="G5" s="28">
        <f>D5/E5</f>
        <v>3.159827213822894</v>
      </c>
      <c r="H5" s="26">
        <v>64</v>
      </c>
      <c r="I5" s="26">
        <v>1</v>
      </c>
      <c r="J5" s="26">
        <v>39</v>
      </c>
      <c r="K5" s="26">
        <v>571</v>
      </c>
      <c r="L5" s="29">
        <v>1.29</v>
      </c>
      <c r="M5" s="26">
        <v>27</v>
      </c>
      <c r="N5" s="26">
        <v>2.9</v>
      </c>
      <c r="O5" s="26">
        <v>42</v>
      </c>
      <c r="P5" s="29">
        <v>1.1399999999999999</v>
      </c>
      <c r="Q5" s="29">
        <v>12.4</v>
      </c>
      <c r="R5" s="29">
        <v>14.9</v>
      </c>
      <c r="S5" s="29">
        <v>216</v>
      </c>
      <c r="T5" s="29">
        <v>3.62</v>
      </c>
      <c r="U5" s="29">
        <v>31</v>
      </c>
      <c r="V5" s="29">
        <v>387</v>
      </c>
      <c r="W5" s="29">
        <v>1.61</v>
      </c>
    </row>
    <row r="6" spans="1:23">
      <c r="A6" s="6" t="s">
        <v>13</v>
      </c>
      <c r="B6" s="6">
        <v>2022</v>
      </c>
      <c r="C6" s="32">
        <v>1232</v>
      </c>
      <c r="D6" s="26">
        <v>1593</v>
      </c>
      <c r="E6" s="25" t="s">
        <v>90</v>
      </c>
      <c r="F6" s="33">
        <f t="shared" si="0"/>
        <v>2.5720250521920667</v>
      </c>
      <c r="G6" s="28">
        <v>3.26</v>
      </c>
      <c r="H6" s="26">
        <v>68</v>
      </c>
      <c r="I6" s="26">
        <v>1.01</v>
      </c>
      <c r="J6" s="26">
        <v>42.1</v>
      </c>
      <c r="K6" s="26">
        <v>671</v>
      </c>
      <c r="L6" s="29">
        <v>1.27</v>
      </c>
      <c r="M6" s="26">
        <v>21.5</v>
      </c>
      <c r="N6" s="26">
        <v>4.5999999999999996</v>
      </c>
      <c r="O6" s="26">
        <v>74</v>
      </c>
      <c r="P6" s="29">
        <v>1.18</v>
      </c>
      <c r="Q6" s="29">
        <v>10.199999999999999</v>
      </c>
      <c r="R6" s="29">
        <v>16.2</v>
      </c>
      <c r="S6" s="29">
        <v>256</v>
      </c>
      <c r="T6" s="29">
        <v>3.92</v>
      </c>
      <c r="U6" s="29">
        <v>32.700000000000003</v>
      </c>
      <c r="V6" s="29">
        <v>444</v>
      </c>
      <c r="W6" s="29">
        <v>1.54</v>
      </c>
    </row>
    <row r="7" spans="1:23">
      <c r="A7" s="6" t="s">
        <v>13</v>
      </c>
      <c r="B7" s="6">
        <v>2023</v>
      </c>
      <c r="C7" s="32">
        <v>1062</v>
      </c>
      <c r="D7" s="26">
        <v>1473</v>
      </c>
      <c r="E7" s="25" t="s">
        <v>91</v>
      </c>
      <c r="F7" s="33">
        <f t="shared" si="0"/>
        <v>2.1454545454545455</v>
      </c>
      <c r="G7" s="28">
        <f>D7/E7</f>
        <v>2.9757575757575756</v>
      </c>
      <c r="H7" s="26">
        <v>73</v>
      </c>
      <c r="I7" s="26">
        <v>1.06</v>
      </c>
      <c r="J7" s="26">
        <v>41.1</v>
      </c>
      <c r="K7" s="26">
        <v>605</v>
      </c>
      <c r="L7" s="29">
        <v>1.44</v>
      </c>
      <c r="M7" s="26">
        <v>17.8</v>
      </c>
      <c r="N7" s="26">
        <v>2.5</v>
      </c>
      <c r="O7" s="26">
        <v>37</v>
      </c>
      <c r="P7" s="29">
        <v>1.03</v>
      </c>
      <c r="Q7" s="29">
        <v>9.8000000000000007</v>
      </c>
      <c r="R7" s="29">
        <v>19.7</v>
      </c>
      <c r="S7" s="29">
        <v>287</v>
      </c>
      <c r="T7" s="29">
        <v>4.28</v>
      </c>
      <c r="U7" s="29">
        <v>33.299999999999997</v>
      </c>
      <c r="V7" s="29">
        <v>394</v>
      </c>
      <c r="W7" s="29">
        <v>1.81</v>
      </c>
    </row>
    <row r="8" spans="1:23">
      <c r="A8" s="6" t="s">
        <v>13</v>
      </c>
      <c r="B8" s="6">
        <v>2024</v>
      </c>
      <c r="C8" s="32">
        <v>1141</v>
      </c>
      <c r="D8" s="26">
        <v>1543</v>
      </c>
      <c r="E8" s="25" t="s">
        <v>92</v>
      </c>
      <c r="F8" s="33">
        <f t="shared" si="0"/>
        <v>2.3097165991902835</v>
      </c>
      <c r="G8" s="28">
        <f>D8/E8</f>
        <v>3.1234817813765181</v>
      </c>
      <c r="H8" s="26">
        <v>74</v>
      </c>
      <c r="I8" s="26">
        <v>1.07</v>
      </c>
      <c r="J8" s="26">
        <v>43.1</v>
      </c>
      <c r="K8" s="26">
        <v>665</v>
      </c>
      <c r="L8" s="29">
        <v>1.47</v>
      </c>
      <c r="M8" s="26">
        <v>13.7</v>
      </c>
      <c r="N8" s="26">
        <v>2.7</v>
      </c>
      <c r="O8" s="26">
        <v>41</v>
      </c>
      <c r="P8" s="29">
        <v>1.17</v>
      </c>
      <c r="Q8" s="29">
        <v>5.9</v>
      </c>
      <c r="R8" s="29">
        <v>20.399999999999999</v>
      </c>
      <c r="S8" s="29">
        <v>316</v>
      </c>
      <c r="T8" s="29">
        <v>4.63</v>
      </c>
      <c r="U8" s="29">
        <v>38</v>
      </c>
      <c r="V8" s="29">
        <v>503</v>
      </c>
      <c r="W8" s="29">
        <v>1.69</v>
      </c>
    </row>
    <row r="9" spans="1:23">
      <c r="A9" s="6" t="s">
        <v>13</v>
      </c>
      <c r="B9" s="6">
        <v>2025</v>
      </c>
      <c r="C9" s="32">
        <v>1256</v>
      </c>
      <c r="D9" s="26">
        <v>1759</v>
      </c>
      <c r="E9" s="25" t="s">
        <v>93</v>
      </c>
      <c r="F9" s="27"/>
      <c r="G9" s="27"/>
      <c r="H9" s="26">
        <v>77</v>
      </c>
      <c r="I9" s="26">
        <v>1.5</v>
      </c>
      <c r="J9" s="26">
        <v>42.3</v>
      </c>
      <c r="K9" s="26">
        <v>744</v>
      </c>
      <c r="L9" s="30"/>
      <c r="M9" s="26">
        <v>5.8</v>
      </c>
      <c r="N9" s="26">
        <v>2.4</v>
      </c>
      <c r="O9" s="26">
        <v>43</v>
      </c>
      <c r="P9" s="30"/>
      <c r="Q9" s="30"/>
      <c r="R9" s="30"/>
      <c r="S9" s="31"/>
      <c r="T9" s="30"/>
      <c r="U9" s="30"/>
      <c r="V9" s="31"/>
      <c r="W9" s="30"/>
    </row>
    <row r="10" spans="1:23">
      <c r="A10" s="6" t="s">
        <v>13</v>
      </c>
      <c r="B10" s="6" t="s">
        <v>81</v>
      </c>
      <c r="C10" s="27"/>
      <c r="D10" s="26">
        <v>11667</v>
      </c>
      <c r="E10" s="25"/>
      <c r="F10" s="28"/>
      <c r="G10" s="28"/>
      <c r="H10" s="26">
        <v>77</v>
      </c>
      <c r="I10" s="26">
        <v>1.0900000000000001</v>
      </c>
      <c r="J10" s="26">
        <v>39.200000000000003</v>
      </c>
      <c r="K10" s="26">
        <v>4568</v>
      </c>
      <c r="L10" s="29"/>
      <c r="M10" s="26">
        <v>21.8</v>
      </c>
      <c r="N10" s="26">
        <v>3</v>
      </c>
      <c r="O10" s="26">
        <v>350</v>
      </c>
      <c r="P10" s="29"/>
      <c r="Q10" s="29"/>
      <c r="R10" s="29"/>
      <c r="S10" s="29"/>
      <c r="T10" s="29"/>
      <c r="U10" s="29"/>
      <c r="V10" s="29"/>
      <c r="W10" s="29"/>
    </row>
    <row r="11" spans="1:23">
      <c r="A11" s="6" t="s">
        <v>59</v>
      </c>
      <c r="B11" s="6">
        <v>2018</v>
      </c>
      <c r="C11" s="27"/>
      <c r="D11" s="29">
        <v>37891</v>
      </c>
      <c r="E11" s="25"/>
      <c r="F11" s="28"/>
      <c r="G11" s="28"/>
      <c r="H11" s="30" t="s">
        <v>41</v>
      </c>
      <c r="I11" s="29">
        <v>1.0900000000000001</v>
      </c>
      <c r="J11" s="29">
        <v>34.799999999999997</v>
      </c>
      <c r="K11" s="29">
        <v>13169</v>
      </c>
      <c r="L11" s="29">
        <v>1.69</v>
      </c>
      <c r="M11" s="29">
        <v>37.5</v>
      </c>
      <c r="N11" s="29">
        <v>3</v>
      </c>
      <c r="O11" s="29">
        <v>1127</v>
      </c>
      <c r="P11" s="29">
        <v>4.0999999999999996</v>
      </c>
      <c r="Q11" s="29">
        <v>88.7</v>
      </c>
      <c r="R11" s="29">
        <v>11.4</v>
      </c>
      <c r="S11" s="29">
        <v>4323</v>
      </c>
      <c r="T11" s="29">
        <v>5.74</v>
      </c>
      <c r="U11" s="29">
        <v>30.4</v>
      </c>
      <c r="V11" s="29">
        <v>9357</v>
      </c>
      <c r="W11" s="29">
        <v>2.06</v>
      </c>
    </row>
    <row r="12" spans="1:23">
      <c r="A12" s="6" t="s">
        <v>59</v>
      </c>
      <c r="B12" s="6">
        <v>2019</v>
      </c>
      <c r="C12" s="27"/>
      <c r="D12" s="29">
        <v>39188</v>
      </c>
      <c r="E12" s="25"/>
      <c r="F12" s="28"/>
      <c r="G12" s="28"/>
      <c r="H12" s="30"/>
      <c r="I12" s="29">
        <v>1.1200000000000001</v>
      </c>
      <c r="J12" s="29">
        <v>36.9</v>
      </c>
      <c r="K12" s="29">
        <v>14479</v>
      </c>
      <c r="L12" s="29">
        <v>1.67</v>
      </c>
      <c r="M12" s="29">
        <v>34</v>
      </c>
      <c r="N12" s="29">
        <v>2.7</v>
      </c>
      <c r="O12" s="29">
        <v>1071</v>
      </c>
      <c r="P12" s="29">
        <v>3.5</v>
      </c>
      <c r="Q12" s="29">
        <v>65.2</v>
      </c>
      <c r="R12" s="29">
        <v>12.2</v>
      </c>
      <c r="S12" s="29">
        <v>4771</v>
      </c>
      <c r="T12" s="29">
        <v>5.47</v>
      </c>
      <c r="U12" s="29">
        <v>28.9</v>
      </c>
      <c r="V12" s="29">
        <v>9506</v>
      </c>
      <c r="W12" s="29">
        <v>2.09</v>
      </c>
    </row>
    <row r="13" spans="1:23">
      <c r="A13" s="6" t="s">
        <v>59</v>
      </c>
      <c r="B13" s="6">
        <v>2020</v>
      </c>
      <c r="C13" s="27"/>
      <c r="D13" s="29">
        <v>42127</v>
      </c>
      <c r="E13" s="25"/>
      <c r="F13" s="28"/>
      <c r="G13" s="28"/>
      <c r="H13" s="30"/>
      <c r="I13" s="29">
        <v>1.2</v>
      </c>
      <c r="J13" s="29">
        <v>40.9</v>
      </c>
      <c r="K13" s="29">
        <v>17235</v>
      </c>
      <c r="L13" s="29">
        <v>1.8</v>
      </c>
      <c r="M13" s="29">
        <v>34.5</v>
      </c>
      <c r="N13" s="29">
        <v>2.7</v>
      </c>
      <c r="O13" s="29">
        <v>1139</v>
      </c>
      <c r="P13" s="29">
        <v>3.76</v>
      </c>
      <c r="Q13" s="29">
        <v>79.099999999999994</v>
      </c>
      <c r="R13" s="29">
        <v>12.9</v>
      </c>
      <c r="S13" s="29">
        <v>5444</v>
      </c>
      <c r="T13" s="29">
        <v>6.02</v>
      </c>
      <c r="U13" s="29">
        <v>30</v>
      </c>
      <c r="V13" s="29">
        <v>11123</v>
      </c>
      <c r="W13" s="29">
        <v>2.25</v>
      </c>
    </row>
    <row r="14" spans="1:23">
      <c r="A14" s="6" t="s">
        <v>59</v>
      </c>
      <c r="B14" s="6">
        <v>2021</v>
      </c>
      <c r="C14" s="27"/>
      <c r="D14" s="29">
        <v>46393</v>
      </c>
      <c r="E14" s="25"/>
      <c r="F14" s="28"/>
      <c r="G14" s="28"/>
      <c r="H14" s="30"/>
      <c r="I14" s="29">
        <v>1.1499999999999999</v>
      </c>
      <c r="J14" s="29">
        <v>41.5</v>
      </c>
      <c r="K14" s="29">
        <v>19260</v>
      </c>
      <c r="L14" s="29">
        <v>1.67</v>
      </c>
      <c r="M14" s="29">
        <v>25.4</v>
      </c>
      <c r="N14" s="29">
        <v>2.9</v>
      </c>
      <c r="O14" s="29">
        <v>1361</v>
      </c>
      <c r="P14" s="29">
        <v>2.96</v>
      </c>
      <c r="Q14" s="29">
        <v>42.9</v>
      </c>
      <c r="R14" s="29">
        <v>12.8</v>
      </c>
      <c r="S14" s="29">
        <v>5935</v>
      </c>
      <c r="T14" s="29">
        <v>5.24</v>
      </c>
      <c r="U14" s="29">
        <v>30.7</v>
      </c>
      <c r="V14" s="29">
        <v>12740</v>
      </c>
      <c r="W14" s="29">
        <v>2.0299999999999998</v>
      </c>
    </row>
    <row r="15" spans="1:23">
      <c r="A15" s="6" t="s">
        <v>59</v>
      </c>
      <c r="B15" s="6">
        <v>2022</v>
      </c>
      <c r="C15" s="27"/>
      <c r="D15" s="29">
        <v>48043</v>
      </c>
      <c r="E15" s="25"/>
      <c r="F15" s="28"/>
      <c r="G15" s="28"/>
      <c r="H15" s="30"/>
      <c r="I15" s="29">
        <v>1.2</v>
      </c>
      <c r="J15" s="29">
        <v>42.1</v>
      </c>
      <c r="K15" s="29">
        <v>20228</v>
      </c>
      <c r="L15" s="29">
        <v>1.75</v>
      </c>
      <c r="M15" s="29">
        <v>19.100000000000001</v>
      </c>
      <c r="N15" s="29">
        <v>3.2</v>
      </c>
      <c r="O15" s="29">
        <v>1525</v>
      </c>
      <c r="P15" s="29">
        <v>3.46</v>
      </c>
      <c r="Q15" s="29">
        <v>32.6</v>
      </c>
      <c r="R15" s="29">
        <v>13.4</v>
      </c>
      <c r="S15" s="29">
        <v>6455</v>
      </c>
      <c r="T15" s="29">
        <v>5.59</v>
      </c>
      <c r="U15" s="29">
        <v>28.4</v>
      </c>
      <c r="V15" s="29">
        <v>12340</v>
      </c>
      <c r="W15" s="29">
        <v>2.21</v>
      </c>
    </row>
    <row r="16" spans="1:23">
      <c r="A16" s="6" t="s">
        <v>59</v>
      </c>
      <c r="B16" s="6">
        <v>2023</v>
      </c>
      <c r="C16" s="27"/>
      <c r="D16" s="29">
        <v>45148</v>
      </c>
      <c r="E16" s="25"/>
      <c r="F16" s="28"/>
      <c r="G16" s="28"/>
      <c r="H16" s="30"/>
      <c r="I16" s="29">
        <v>1.23</v>
      </c>
      <c r="J16" s="29">
        <v>42.1</v>
      </c>
      <c r="K16" s="29">
        <v>19028</v>
      </c>
      <c r="L16" s="29">
        <v>1.78</v>
      </c>
      <c r="M16" s="29">
        <v>12.5</v>
      </c>
      <c r="N16" s="29">
        <v>3.3</v>
      </c>
      <c r="O16" s="29">
        <v>1483</v>
      </c>
      <c r="P16" s="29">
        <v>3.3</v>
      </c>
      <c r="Q16" s="29">
        <v>18.2</v>
      </c>
      <c r="R16" s="29">
        <v>13.5</v>
      </c>
      <c r="S16" s="29">
        <v>6094</v>
      </c>
      <c r="T16" s="29">
        <v>5.83</v>
      </c>
      <c r="U16" s="29">
        <v>33</v>
      </c>
      <c r="V16" s="29">
        <v>13022</v>
      </c>
      <c r="W16" s="29">
        <v>2.2599999999999998</v>
      </c>
    </row>
    <row r="17" spans="1:23">
      <c r="A17" s="6" t="s">
        <v>59</v>
      </c>
      <c r="B17" s="6">
        <v>2024</v>
      </c>
      <c r="C17" s="27"/>
      <c r="D17" s="29">
        <v>46281</v>
      </c>
      <c r="E17" s="25"/>
      <c r="F17" s="28"/>
      <c r="G17" s="28"/>
      <c r="H17" s="30"/>
      <c r="I17" s="29">
        <v>1.28</v>
      </c>
      <c r="J17" s="29">
        <v>43.3</v>
      </c>
      <c r="K17" s="29">
        <v>20043</v>
      </c>
      <c r="L17" s="29">
        <v>1.91</v>
      </c>
      <c r="M17" s="29">
        <v>5.9</v>
      </c>
      <c r="N17" s="29">
        <v>3.4</v>
      </c>
      <c r="O17" s="29">
        <v>1554</v>
      </c>
      <c r="P17" s="29">
        <v>5.73</v>
      </c>
      <c r="Q17" s="29">
        <v>13.3</v>
      </c>
      <c r="R17" s="29">
        <v>14.2</v>
      </c>
      <c r="S17" s="29">
        <v>6577</v>
      </c>
      <c r="T17" s="29">
        <v>6.78</v>
      </c>
      <c r="U17" s="29">
        <v>33.299999999999997</v>
      </c>
      <c r="V17" s="29">
        <v>13898</v>
      </c>
      <c r="W17" s="29">
        <v>2.34</v>
      </c>
    </row>
    <row r="18" spans="1:23">
      <c r="A18" s="6" t="s">
        <v>59</v>
      </c>
      <c r="B18" s="6">
        <v>2025</v>
      </c>
      <c r="C18" s="27"/>
      <c r="D18" s="30"/>
      <c r="E18" s="25"/>
      <c r="F18" s="27"/>
      <c r="G18" s="27"/>
      <c r="H18" s="30"/>
      <c r="I18" s="30"/>
      <c r="J18" s="30"/>
      <c r="K18" s="31"/>
      <c r="L18" s="30"/>
      <c r="M18" s="30"/>
      <c r="N18" s="30"/>
      <c r="O18" s="31"/>
      <c r="P18" s="30"/>
      <c r="Q18" s="30"/>
      <c r="R18" s="30"/>
      <c r="S18" s="31"/>
      <c r="T18" s="30"/>
      <c r="U18" s="30"/>
      <c r="V18" s="31"/>
      <c r="W18" s="30"/>
    </row>
    <row r="19" spans="1:23">
      <c r="A19" s="6" t="s">
        <v>59</v>
      </c>
      <c r="B19" s="6" t="s">
        <v>81</v>
      </c>
      <c r="C19" s="27"/>
      <c r="D19" s="29"/>
      <c r="E19" s="25"/>
      <c r="F19" s="28"/>
      <c r="G19" s="28"/>
      <c r="H19" s="30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</row>
    <row r="20" spans="1:23">
      <c r="A20" s="6" t="s">
        <v>63</v>
      </c>
      <c r="B20" s="6">
        <v>2018</v>
      </c>
      <c r="C20" s="32">
        <v>162</v>
      </c>
      <c r="D20" s="29">
        <v>270</v>
      </c>
      <c r="E20" s="25" t="s">
        <v>94</v>
      </c>
      <c r="F20" s="28">
        <f t="shared" ref="F20:F26" si="1">C20/E20</f>
        <v>0.4835820895522388</v>
      </c>
      <c r="G20" s="28">
        <f t="shared" ref="G20:G26" si="2">D20/E20</f>
        <v>0.80597014925373134</v>
      </c>
      <c r="H20" s="29">
        <v>27</v>
      </c>
      <c r="I20" s="29">
        <v>0.61</v>
      </c>
      <c r="J20" s="29">
        <v>12.2</v>
      </c>
      <c r="K20" s="29">
        <v>33</v>
      </c>
      <c r="L20" s="29">
        <v>0.53</v>
      </c>
      <c r="M20" s="29">
        <v>9.5</v>
      </c>
      <c r="N20" s="29">
        <v>0</v>
      </c>
      <c r="O20" s="29">
        <v>0</v>
      </c>
      <c r="P20" s="29">
        <v>0</v>
      </c>
      <c r="Q20" s="29" t="s">
        <v>20</v>
      </c>
      <c r="R20" s="29">
        <v>5.6</v>
      </c>
      <c r="S20" s="29">
        <v>15</v>
      </c>
      <c r="T20" s="29">
        <v>4.1500000000000004</v>
      </c>
      <c r="U20" s="29">
        <v>11.4</v>
      </c>
      <c r="V20" s="29">
        <v>22</v>
      </c>
      <c r="W20" s="29">
        <v>1.58</v>
      </c>
    </row>
    <row r="21" spans="1:23">
      <c r="A21" s="6" t="s">
        <v>14</v>
      </c>
      <c r="B21" s="6">
        <v>2019</v>
      </c>
      <c r="C21" s="32">
        <v>143</v>
      </c>
      <c r="D21" s="29">
        <v>245</v>
      </c>
      <c r="E21" s="25" t="s">
        <v>95</v>
      </c>
      <c r="F21" s="28">
        <f t="shared" si="1"/>
        <v>0.41812865497076024</v>
      </c>
      <c r="G21" s="28">
        <f t="shared" si="2"/>
        <v>0.716374269005848</v>
      </c>
      <c r="H21" s="29">
        <v>28</v>
      </c>
      <c r="I21" s="29">
        <v>0.49</v>
      </c>
      <c r="J21" s="29">
        <v>16.7</v>
      </c>
      <c r="K21" s="29">
        <v>41</v>
      </c>
      <c r="L21" s="29">
        <v>0.51</v>
      </c>
      <c r="M21" s="29">
        <v>10.1</v>
      </c>
      <c r="N21" s="29">
        <v>0.8</v>
      </c>
      <c r="O21" s="29">
        <v>2</v>
      </c>
      <c r="P21" s="29">
        <v>0.11</v>
      </c>
      <c r="Q21" s="29">
        <v>1</v>
      </c>
      <c r="R21" s="29">
        <v>4.0999999999999996</v>
      </c>
      <c r="S21" s="29">
        <v>10</v>
      </c>
      <c r="T21" s="29">
        <v>3.57</v>
      </c>
      <c r="U21" s="29">
        <v>14.4</v>
      </c>
      <c r="V21" s="29">
        <v>25</v>
      </c>
      <c r="W21" s="29">
        <v>1.19</v>
      </c>
    </row>
    <row r="22" spans="1:23">
      <c r="A22" s="6" t="s">
        <v>14</v>
      </c>
      <c r="B22" s="6">
        <v>2020</v>
      </c>
      <c r="C22" s="32">
        <v>193</v>
      </c>
      <c r="D22" s="29">
        <v>252</v>
      </c>
      <c r="E22" s="25" t="s">
        <v>96</v>
      </c>
      <c r="F22" s="28">
        <f t="shared" si="1"/>
        <v>0.55619596541786742</v>
      </c>
      <c r="G22" s="28">
        <f t="shared" si="2"/>
        <v>0.72622478386167144</v>
      </c>
      <c r="H22" s="29">
        <v>27</v>
      </c>
      <c r="I22" s="29">
        <v>0.62</v>
      </c>
      <c r="J22" s="29">
        <v>21</v>
      </c>
      <c r="K22" s="29">
        <v>53</v>
      </c>
      <c r="L22" s="29">
        <v>0.63</v>
      </c>
      <c r="M22" s="29">
        <v>15.9</v>
      </c>
      <c r="N22" s="29">
        <v>0.4</v>
      </c>
      <c r="O22" s="29">
        <v>1</v>
      </c>
      <c r="P22" s="29">
        <v>0.05</v>
      </c>
      <c r="Q22" s="29">
        <v>2</v>
      </c>
      <c r="R22" s="29">
        <v>5.6</v>
      </c>
      <c r="S22" s="29">
        <v>14</v>
      </c>
      <c r="T22" s="29">
        <v>3.78</v>
      </c>
      <c r="U22" s="29">
        <v>15.4</v>
      </c>
      <c r="V22" s="29">
        <v>31</v>
      </c>
      <c r="W22" s="29">
        <v>1.17</v>
      </c>
    </row>
    <row r="23" spans="1:23">
      <c r="A23" s="6" t="s">
        <v>14</v>
      </c>
      <c r="B23" s="6">
        <v>2021</v>
      </c>
      <c r="C23" s="32">
        <v>197</v>
      </c>
      <c r="D23" s="29">
        <v>251</v>
      </c>
      <c r="E23" s="25" t="s">
        <v>97</v>
      </c>
      <c r="F23" s="28">
        <f t="shared" si="1"/>
        <v>0.5644699140401146</v>
      </c>
      <c r="G23" s="28">
        <f t="shared" si="2"/>
        <v>0.71919770773638969</v>
      </c>
      <c r="H23" s="29">
        <v>28</v>
      </c>
      <c r="I23" s="29">
        <v>0.81</v>
      </c>
      <c r="J23" s="29">
        <v>17.100000000000001</v>
      </c>
      <c r="K23" s="29">
        <v>43</v>
      </c>
      <c r="L23" s="29">
        <v>1.75</v>
      </c>
      <c r="M23" s="29">
        <v>27.1</v>
      </c>
      <c r="N23" s="29">
        <v>1.6</v>
      </c>
      <c r="O23" s="29">
        <v>4</v>
      </c>
      <c r="P23" s="29">
        <v>6.21</v>
      </c>
      <c r="Q23" s="29">
        <v>87.8</v>
      </c>
      <c r="R23" s="29">
        <v>4.4000000000000004</v>
      </c>
      <c r="S23" s="29">
        <v>11</v>
      </c>
      <c r="T23" s="29">
        <v>7.32</v>
      </c>
      <c r="U23" s="29">
        <v>15.5</v>
      </c>
      <c r="V23" s="29">
        <v>30</v>
      </c>
      <c r="W23" s="29">
        <v>1.22</v>
      </c>
    </row>
    <row r="24" spans="1:23">
      <c r="A24" s="6" t="s">
        <v>14</v>
      </c>
      <c r="B24" s="6">
        <v>2022</v>
      </c>
      <c r="C24" s="32">
        <v>214</v>
      </c>
      <c r="D24" s="29">
        <v>289</v>
      </c>
      <c r="E24" s="25" t="s">
        <v>98</v>
      </c>
      <c r="F24" s="28">
        <f t="shared" si="1"/>
        <v>0.60623229461756378</v>
      </c>
      <c r="G24" s="28">
        <f t="shared" si="2"/>
        <v>0.81869688385269124</v>
      </c>
      <c r="H24" s="29">
        <v>28</v>
      </c>
      <c r="I24" s="29">
        <v>0.62</v>
      </c>
      <c r="J24" s="29">
        <v>18</v>
      </c>
      <c r="K24" s="29">
        <v>52</v>
      </c>
      <c r="L24" s="29">
        <v>0.92</v>
      </c>
      <c r="M24" s="29">
        <v>8.6999999999999993</v>
      </c>
      <c r="N24" s="29">
        <v>1.4</v>
      </c>
      <c r="O24" s="29">
        <v>4</v>
      </c>
      <c r="P24" s="29">
        <v>0.89</v>
      </c>
      <c r="Q24" s="29">
        <v>11.8</v>
      </c>
      <c r="R24" s="29">
        <v>6.2</v>
      </c>
      <c r="S24" s="29">
        <v>18</v>
      </c>
      <c r="T24" s="29">
        <v>4.41</v>
      </c>
      <c r="U24" s="29">
        <v>17.600000000000001</v>
      </c>
      <c r="V24" s="29">
        <v>39</v>
      </c>
      <c r="W24" s="29">
        <v>0.92</v>
      </c>
    </row>
    <row r="25" spans="1:23">
      <c r="A25" s="6" t="s">
        <v>14</v>
      </c>
      <c r="B25" s="6">
        <v>2023</v>
      </c>
      <c r="C25" s="32">
        <v>164</v>
      </c>
      <c r="D25" s="29">
        <v>300</v>
      </c>
      <c r="E25" s="25" t="s">
        <v>99</v>
      </c>
      <c r="F25" s="28">
        <f t="shared" si="1"/>
        <v>0.44086021505376344</v>
      </c>
      <c r="G25" s="28">
        <f t="shared" si="2"/>
        <v>0.80645161290322576</v>
      </c>
      <c r="H25" s="29">
        <v>26</v>
      </c>
      <c r="I25" s="29">
        <v>0.51</v>
      </c>
      <c r="J25" s="29">
        <v>15.7</v>
      </c>
      <c r="K25" s="29">
        <v>47</v>
      </c>
      <c r="L25" s="29">
        <v>0.89</v>
      </c>
      <c r="M25" s="29">
        <v>6.1</v>
      </c>
      <c r="N25" s="29">
        <v>3.7</v>
      </c>
      <c r="O25" s="29">
        <v>11</v>
      </c>
      <c r="P25" s="29">
        <v>0.54</v>
      </c>
      <c r="Q25" s="29">
        <v>4.0999999999999996</v>
      </c>
      <c r="R25" s="29">
        <v>3.7</v>
      </c>
      <c r="S25" s="29">
        <v>11</v>
      </c>
      <c r="T25" s="29">
        <v>3.6</v>
      </c>
      <c r="U25" s="29">
        <v>16.899999999999999</v>
      </c>
      <c r="V25" s="29">
        <v>37</v>
      </c>
      <c r="W25" s="29">
        <v>1.1100000000000001</v>
      </c>
    </row>
    <row r="26" spans="1:23">
      <c r="A26" s="6" t="s">
        <v>14</v>
      </c>
      <c r="B26" s="6">
        <v>2024</v>
      </c>
      <c r="C26" s="32">
        <v>198</v>
      </c>
      <c r="D26" s="29">
        <v>299</v>
      </c>
      <c r="E26" s="25" t="s">
        <v>100</v>
      </c>
      <c r="F26" s="28">
        <f t="shared" si="1"/>
        <v>0.54395604395604391</v>
      </c>
      <c r="G26" s="28">
        <f t="shared" si="2"/>
        <v>0.8214285714285714</v>
      </c>
      <c r="H26" s="29">
        <v>28</v>
      </c>
      <c r="I26" s="29">
        <v>0.63</v>
      </c>
      <c r="J26" s="29">
        <v>18.7</v>
      </c>
      <c r="K26" s="29">
        <v>56</v>
      </c>
      <c r="L26" s="29">
        <v>0.77</v>
      </c>
      <c r="M26" s="29">
        <v>1.8</v>
      </c>
      <c r="N26" s="29">
        <v>3.3</v>
      </c>
      <c r="O26" s="29">
        <v>10</v>
      </c>
      <c r="P26" s="29">
        <v>0.59</v>
      </c>
      <c r="Q26" s="29">
        <v>2.5</v>
      </c>
      <c r="R26" s="29">
        <v>4.3</v>
      </c>
      <c r="S26" s="29">
        <v>13</v>
      </c>
      <c r="T26" s="29">
        <v>4.74</v>
      </c>
      <c r="U26" s="29">
        <v>19.3</v>
      </c>
      <c r="V26" s="29">
        <v>44</v>
      </c>
      <c r="W26" s="29">
        <v>1.1599999999999999</v>
      </c>
    </row>
    <row r="27" spans="1:23">
      <c r="A27" s="6" t="s">
        <v>14</v>
      </c>
      <c r="B27" s="6">
        <v>2025</v>
      </c>
      <c r="C27" s="32">
        <v>217</v>
      </c>
      <c r="D27" s="30"/>
      <c r="E27" s="25" t="s">
        <v>101</v>
      </c>
      <c r="F27" s="27"/>
      <c r="G27" s="27"/>
      <c r="H27" s="30"/>
      <c r="I27" s="30"/>
      <c r="J27" s="30"/>
      <c r="K27" s="31"/>
      <c r="L27" s="30"/>
      <c r="M27" s="30"/>
      <c r="N27" s="30"/>
      <c r="O27" s="31"/>
      <c r="P27" s="30"/>
      <c r="Q27" s="30"/>
      <c r="R27" s="30"/>
      <c r="S27" s="31"/>
      <c r="T27" s="30"/>
      <c r="U27" s="30"/>
      <c r="V27" s="31"/>
      <c r="W27" s="30"/>
    </row>
    <row r="28" spans="1:23">
      <c r="A28" s="6" t="s">
        <v>14</v>
      </c>
      <c r="B28" s="6" t="s">
        <v>81</v>
      </c>
      <c r="C28" s="27"/>
      <c r="D28" s="29"/>
      <c r="E28" s="25"/>
      <c r="F28" s="28"/>
      <c r="G28" s="28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</row>
    <row r="29" spans="1:23">
      <c r="A29" s="6" t="s">
        <v>15</v>
      </c>
      <c r="B29" s="6">
        <v>2018</v>
      </c>
      <c r="C29" s="32">
        <v>205</v>
      </c>
      <c r="D29" s="29">
        <v>267</v>
      </c>
      <c r="E29" s="25" t="s">
        <v>102</v>
      </c>
      <c r="F29" s="28">
        <f t="shared" ref="F29:F35" si="3">C29/E29</f>
        <v>0.49878345498783455</v>
      </c>
      <c r="G29" s="28">
        <f t="shared" ref="G29:G35" si="4">D29/E29</f>
        <v>0.64963503649635035</v>
      </c>
      <c r="H29" s="29">
        <v>24</v>
      </c>
      <c r="I29" s="29">
        <v>0.79</v>
      </c>
      <c r="J29" s="29">
        <v>28.5</v>
      </c>
      <c r="K29" s="29">
        <v>76</v>
      </c>
      <c r="L29" s="29">
        <v>0.87</v>
      </c>
      <c r="M29" s="29">
        <v>20.7</v>
      </c>
      <c r="N29" s="29">
        <v>1.9</v>
      </c>
      <c r="O29" s="29">
        <v>5</v>
      </c>
      <c r="P29" s="29">
        <v>0.22</v>
      </c>
      <c r="Q29" s="29">
        <v>7.6</v>
      </c>
      <c r="R29" s="29">
        <v>9.6999999999999993</v>
      </c>
      <c r="S29" s="29">
        <v>26</v>
      </c>
      <c r="T29" s="29">
        <v>3.66</v>
      </c>
      <c r="U29" s="29">
        <v>22</v>
      </c>
      <c r="V29" s="29">
        <v>51</v>
      </c>
      <c r="W29" s="29">
        <v>1.39</v>
      </c>
    </row>
    <row r="30" spans="1:23">
      <c r="A30" s="6" t="s">
        <v>15</v>
      </c>
      <c r="B30" s="6">
        <v>2019</v>
      </c>
      <c r="C30" s="32">
        <v>279</v>
      </c>
      <c r="D30" s="29">
        <v>345</v>
      </c>
      <c r="E30" s="25" t="s">
        <v>103</v>
      </c>
      <c r="F30" s="28">
        <f t="shared" si="3"/>
        <v>0.69059405940594054</v>
      </c>
      <c r="G30" s="28">
        <f t="shared" si="4"/>
        <v>0.85396039603960394</v>
      </c>
      <c r="H30" s="29">
        <v>27</v>
      </c>
      <c r="I30" s="29">
        <v>0.95</v>
      </c>
      <c r="J30" s="29">
        <v>31.9</v>
      </c>
      <c r="K30" s="29">
        <v>110</v>
      </c>
      <c r="L30" s="29">
        <v>1.21</v>
      </c>
      <c r="M30" s="29">
        <v>24.5</v>
      </c>
      <c r="N30" s="29">
        <v>0.3</v>
      </c>
      <c r="O30" s="29">
        <v>1</v>
      </c>
      <c r="P30" s="29">
        <v>0</v>
      </c>
      <c r="Q30" s="29" t="s">
        <v>20</v>
      </c>
      <c r="R30" s="29">
        <v>12.2</v>
      </c>
      <c r="S30" s="29">
        <v>42</v>
      </c>
      <c r="T30" s="29">
        <v>4.2300000000000004</v>
      </c>
      <c r="U30" s="29">
        <v>20.100000000000001</v>
      </c>
      <c r="V30" s="29">
        <v>61</v>
      </c>
      <c r="W30" s="29">
        <v>1.67</v>
      </c>
    </row>
    <row r="31" spans="1:23">
      <c r="A31" s="6" t="s">
        <v>15</v>
      </c>
      <c r="B31" s="6">
        <v>2020</v>
      </c>
      <c r="C31" s="32">
        <v>291</v>
      </c>
      <c r="D31" s="29">
        <v>351</v>
      </c>
      <c r="E31" s="25" t="s">
        <v>104</v>
      </c>
      <c r="F31" s="28">
        <f t="shared" si="3"/>
        <v>0.67205542725173206</v>
      </c>
      <c r="G31" s="28">
        <f t="shared" si="4"/>
        <v>0.81062355658198615</v>
      </c>
      <c r="H31" s="29">
        <v>31</v>
      </c>
      <c r="I31" s="29">
        <v>0.93</v>
      </c>
      <c r="J31" s="29">
        <v>32.799999999999997</v>
      </c>
      <c r="K31" s="29">
        <v>115</v>
      </c>
      <c r="L31" s="29">
        <v>0.99</v>
      </c>
      <c r="M31" s="29">
        <v>19.8</v>
      </c>
      <c r="N31" s="29">
        <v>0</v>
      </c>
      <c r="O31" s="29">
        <v>0</v>
      </c>
      <c r="P31" s="29">
        <v>0</v>
      </c>
      <c r="Q31" s="29" t="s">
        <v>20</v>
      </c>
      <c r="R31" s="29">
        <v>10.5</v>
      </c>
      <c r="S31" s="29">
        <v>37</v>
      </c>
      <c r="T31" s="29">
        <v>4.9000000000000004</v>
      </c>
      <c r="U31" s="29">
        <v>23.7</v>
      </c>
      <c r="V31" s="29">
        <v>77</v>
      </c>
      <c r="W31" s="29">
        <v>1.57</v>
      </c>
    </row>
    <row r="32" spans="1:23">
      <c r="A32" s="6" t="s">
        <v>15</v>
      </c>
      <c r="B32" s="6">
        <v>2021</v>
      </c>
      <c r="C32" s="32">
        <v>441</v>
      </c>
      <c r="D32" s="29">
        <v>452</v>
      </c>
      <c r="E32" s="25" t="s">
        <v>105</v>
      </c>
      <c r="F32" s="28">
        <f t="shared" si="3"/>
        <v>1.0942928039702233</v>
      </c>
      <c r="G32" s="28">
        <f t="shared" si="4"/>
        <v>1.1215880893300247</v>
      </c>
      <c r="H32" s="29">
        <v>35</v>
      </c>
      <c r="I32" s="29">
        <v>0.84</v>
      </c>
      <c r="J32" s="29">
        <v>36.9</v>
      </c>
      <c r="K32" s="29">
        <v>167</v>
      </c>
      <c r="L32" s="29">
        <v>0.97</v>
      </c>
      <c r="M32" s="29">
        <v>15.8</v>
      </c>
      <c r="N32" s="29">
        <v>0.9</v>
      </c>
      <c r="O32" s="29">
        <v>4</v>
      </c>
      <c r="P32" s="29">
        <v>0.5</v>
      </c>
      <c r="Q32" s="29">
        <v>5.3</v>
      </c>
      <c r="R32" s="29">
        <v>10.6</v>
      </c>
      <c r="S32" s="29">
        <v>48</v>
      </c>
      <c r="T32" s="29">
        <v>3.33</v>
      </c>
      <c r="U32" s="29">
        <v>20.100000000000001</v>
      </c>
      <c r="V32" s="29">
        <v>90</v>
      </c>
      <c r="W32" s="29">
        <v>1.49</v>
      </c>
    </row>
    <row r="33" spans="1:23">
      <c r="A33" s="6" t="s">
        <v>25</v>
      </c>
      <c r="B33" s="6">
        <v>2022</v>
      </c>
      <c r="C33" s="32">
        <v>450</v>
      </c>
      <c r="D33" s="29">
        <v>521</v>
      </c>
      <c r="E33" s="25" t="s">
        <v>104</v>
      </c>
      <c r="F33" s="28">
        <f t="shared" si="3"/>
        <v>1.0392609699769053</v>
      </c>
      <c r="G33" s="28">
        <f t="shared" si="4"/>
        <v>1.2032332563510393</v>
      </c>
      <c r="H33" s="29">
        <v>38</v>
      </c>
      <c r="I33" s="29">
        <v>0.99</v>
      </c>
      <c r="J33" s="29">
        <v>37.799999999999997</v>
      </c>
      <c r="K33" s="29">
        <v>197</v>
      </c>
      <c r="L33" s="29">
        <v>1.1100000000000001</v>
      </c>
      <c r="M33" s="29">
        <v>13.7</v>
      </c>
      <c r="N33" s="29">
        <v>1</v>
      </c>
      <c r="O33" s="29">
        <v>5</v>
      </c>
      <c r="P33" s="29">
        <v>1.03</v>
      </c>
      <c r="Q33" s="29">
        <v>9</v>
      </c>
      <c r="R33" s="29">
        <v>12.3</v>
      </c>
      <c r="S33" s="29">
        <v>64</v>
      </c>
      <c r="T33" s="29">
        <v>3.57</v>
      </c>
      <c r="U33" s="29">
        <v>19.399999999999999</v>
      </c>
      <c r="V33" s="29">
        <v>95</v>
      </c>
      <c r="W33" s="29">
        <v>1.64</v>
      </c>
    </row>
    <row r="34" spans="1:23">
      <c r="A34" s="6" t="s">
        <v>15</v>
      </c>
      <c r="B34" s="6">
        <v>2023</v>
      </c>
      <c r="C34" s="32">
        <v>408</v>
      </c>
      <c r="D34" s="29">
        <v>483</v>
      </c>
      <c r="E34" s="25" t="s">
        <v>106</v>
      </c>
      <c r="F34" s="28">
        <f t="shared" si="3"/>
        <v>0.91685393258426962</v>
      </c>
      <c r="G34" s="28">
        <f t="shared" si="4"/>
        <v>1.0853932584269663</v>
      </c>
      <c r="H34" s="29">
        <v>40</v>
      </c>
      <c r="I34" s="29">
        <v>0.92</v>
      </c>
      <c r="J34" s="29">
        <v>36.6</v>
      </c>
      <c r="K34" s="29">
        <v>177</v>
      </c>
      <c r="L34" s="29">
        <v>1.05</v>
      </c>
      <c r="M34" s="29">
        <v>7.7</v>
      </c>
      <c r="N34" s="29">
        <v>0.4</v>
      </c>
      <c r="O34" s="29">
        <v>2</v>
      </c>
      <c r="P34" s="29">
        <v>1.19</v>
      </c>
      <c r="Q34" s="29">
        <v>7.5</v>
      </c>
      <c r="R34" s="29">
        <v>9.3000000000000007</v>
      </c>
      <c r="S34" s="29">
        <v>45</v>
      </c>
      <c r="T34" s="29">
        <v>3.61</v>
      </c>
      <c r="U34" s="29">
        <v>28.3</v>
      </c>
      <c r="V34" s="29">
        <v>127</v>
      </c>
      <c r="W34" s="29">
        <v>1.38</v>
      </c>
    </row>
    <row r="35" spans="1:23">
      <c r="A35" s="6" t="s">
        <v>15</v>
      </c>
      <c r="B35" s="6">
        <v>2024</v>
      </c>
      <c r="C35" s="32">
        <v>424</v>
      </c>
      <c r="D35" s="29">
        <v>501</v>
      </c>
      <c r="E35" s="25" t="s">
        <v>107</v>
      </c>
      <c r="F35" s="28">
        <f t="shared" si="3"/>
        <v>0.94854586129753915</v>
      </c>
      <c r="G35" s="28">
        <f t="shared" si="4"/>
        <v>1.1208053691275168</v>
      </c>
      <c r="H35" s="29">
        <v>42</v>
      </c>
      <c r="I35" s="29">
        <v>0.81</v>
      </c>
      <c r="J35" s="29">
        <v>38.1</v>
      </c>
      <c r="K35" s="29">
        <v>191</v>
      </c>
      <c r="L35" s="29">
        <v>1.1000000000000001</v>
      </c>
      <c r="M35" s="29">
        <v>4</v>
      </c>
      <c r="N35" s="29">
        <v>0.4</v>
      </c>
      <c r="O35" s="29">
        <v>2</v>
      </c>
      <c r="P35" s="29">
        <v>0.22</v>
      </c>
      <c r="Q35" s="29">
        <v>0.5</v>
      </c>
      <c r="R35" s="29">
        <v>9.6</v>
      </c>
      <c r="S35" s="29">
        <v>48</v>
      </c>
      <c r="T35" s="29">
        <v>4.37</v>
      </c>
      <c r="U35" s="29">
        <v>27.4</v>
      </c>
      <c r="V35" s="29">
        <v>128</v>
      </c>
      <c r="W35" s="29">
        <v>1.31</v>
      </c>
    </row>
    <row r="36" spans="1:23">
      <c r="A36" s="6" t="s">
        <v>15</v>
      </c>
      <c r="B36" s="6">
        <v>2025</v>
      </c>
      <c r="C36" s="32">
        <v>460</v>
      </c>
      <c r="D36" s="30"/>
      <c r="E36" s="25" t="s">
        <v>108</v>
      </c>
      <c r="F36" s="27"/>
      <c r="G36" s="27"/>
      <c r="H36" s="30"/>
      <c r="I36" s="30"/>
      <c r="J36" s="30"/>
      <c r="K36" s="31"/>
      <c r="L36" s="30"/>
      <c r="M36" s="30"/>
      <c r="N36" s="30"/>
      <c r="O36" s="31"/>
      <c r="P36" s="30"/>
      <c r="Q36" s="30"/>
      <c r="R36" s="30"/>
      <c r="S36" s="31"/>
      <c r="T36" s="30"/>
      <c r="U36" s="30"/>
      <c r="V36" s="31"/>
      <c r="W36" s="30"/>
    </row>
    <row r="37" spans="1:23">
      <c r="A37" s="6" t="s">
        <v>15</v>
      </c>
      <c r="B37" s="6" t="s">
        <v>81</v>
      </c>
      <c r="C37" s="27"/>
      <c r="D37" s="29"/>
      <c r="E37" s="25"/>
      <c r="F37" s="28"/>
      <c r="G37" s="28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</row>
    <row r="38" spans="1:23">
      <c r="A38" s="6" t="s">
        <v>16</v>
      </c>
      <c r="B38" s="6">
        <v>2018</v>
      </c>
      <c r="C38" s="32">
        <v>483</v>
      </c>
      <c r="D38" s="29">
        <v>692</v>
      </c>
      <c r="E38" s="25" t="s">
        <v>109</v>
      </c>
      <c r="F38" s="33">
        <f t="shared" ref="F38:F44" si="5">C38/E38</f>
        <v>0.55453501722158438</v>
      </c>
      <c r="G38" s="28">
        <f t="shared" ref="G38:G44" si="6">D38/E38</f>
        <v>0.79448909299655568</v>
      </c>
      <c r="H38" s="29">
        <v>34</v>
      </c>
      <c r="I38" s="29">
        <v>0.74</v>
      </c>
      <c r="J38" s="29">
        <v>24.7</v>
      </c>
      <c r="K38" s="29">
        <v>171</v>
      </c>
      <c r="L38" s="29">
        <v>1.1299999999999999</v>
      </c>
      <c r="M38" s="29">
        <v>23.4</v>
      </c>
      <c r="N38" s="29">
        <v>1.4</v>
      </c>
      <c r="O38" s="29">
        <v>10</v>
      </c>
      <c r="P38" s="29">
        <v>0.57999999999999996</v>
      </c>
      <c r="Q38" s="29">
        <v>10.8</v>
      </c>
      <c r="R38" s="29">
        <v>8.5</v>
      </c>
      <c r="S38" s="29">
        <v>59</v>
      </c>
      <c r="T38" s="29">
        <v>3.79</v>
      </c>
      <c r="U38" s="29">
        <v>21.5</v>
      </c>
      <c r="V38" s="29">
        <v>120</v>
      </c>
      <c r="W38" s="29">
        <v>1.41</v>
      </c>
    </row>
    <row r="39" spans="1:23">
      <c r="A39" s="6" t="s">
        <v>16</v>
      </c>
      <c r="B39" s="6">
        <v>2019</v>
      </c>
      <c r="C39" s="32">
        <v>565</v>
      </c>
      <c r="D39" s="29">
        <v>752</v>
      </c>
      <c r="E39" s="25" t="s">
        <v>109</v>
      </c>
      <c r="F39" s="33">
        <f t="shared" si="5"/>
        <v>0.64867967853042485</v>
      </c>
      <c r="G39" s="28">
        <f t="shared" si="6"/>
        <v>0.86337543053960963</v>
      </c>
      <c r="H39" s="29">
        <v>32</v>
      </c>
      <c r="I39" s="29">
        <v>0.83</v>
      </c>
      <c r="J39" s="29">
        <v>26.7</v>
      </c>
      <c r="K39" s="29">
        <v>201</v>
      </c>
      <c r="L39" s="29">
        <v>1.1299999999999999</v>
      </c>
      <c r="M39" s="29">
        <v>21.4</v>
      </c>
      <c r="N39" s="29">
        <v>1.5</v>
      </c>
      <c r="O39" s="29">
        <v>11</v>
      </c>
      <c r="P39" s="29">
        <v>0.53</v>
      </c>
      <c r="Q39" s="29">
        <v>9.1</v>
      </c>
      <c r="R39" s="29">
        <v>8.4</v>
      </c>
      <c r="S39" s="29">
        <v>63</v>
      </c>
      <c r="T39" s="29">
        <v>4.28</v>
      </c>
      <c r="U39" s="29">
        <v>22.7</v>
      </c>
      <c r="V39" s="29">
        <v>140</v>
      </c>
      <c r="W39" s="29">
        <v>1.72</v>
      </c>
    </row>
    <row r="40" spans="1:23">
      <c r="A40" s="6" t="s">
        <v>16</v>
      </c>
      <c r="B40" s="6">
        <v>2020</v>
      </c>
      <c r="C40" s="32">
        <v>698</v>
      </c>
      <c r="D40" s="29">
        <v>853</v>
      </c>
      <c r="E40" s="25" t="s">
        <v>110</v>
      </c>
      <c r="F40" s="33">
        <f t="shared" si="5"/>
        <v>0.80787037037037035</v>
      </c>
      <c r="G40" s="28">
        <f t="shared" si="6"/>
        <v>0.98726851851851849</v>
      </c>
      <c r="H40" s="29">
        <v>35</v>
      </c>
      <c r="I40" s="29">
        <v>0.92</v>
      </c>
      <c r="J40" s="29">
        <v>33.6</v>
      </c>
      <c r="K40" s="29">
        <v>287</v>
      </c>
      <c r="L40" s="29">
        <v>1.28</v>
      </c>
      <c r="M40" s="29">
        <v>26.1</v>
      </c>
      <c r="N40" s="29">
        <v>1.4</v>
      </c>
      <c r="O40" s="29">
        <v>12</v>
      </c>
      <c r="P40" s="29">
        <v>1.5</v>
      </c>
      <c r="Q40" s="29">
        <v>28.6</v>
      </c>
      <c r="R40" s="29">
        <v>13.6</v>
      </c>
      <c r="S40" s="29">
        <v>116</v>
      </c>
      <c r="T40" s="29">
        <v>3.78</v>
      </c>
      <c r="U40" s="29">
        <v>25.5</v>
      </c>
      <c r="V40" s="29">
        <v>193</v>
      </c>
      <c r="W40" s="29">
        <v>1.72</v>
      </c>
    </row>
    <row r="41" spans="1:23">
      <c r="A41" s="6" t="s">
        <v>16</v>
      </c>
      <c r="B41" s="6">
        <v>2021</v>
      </c>
      <c r="C41" s="32">
        <v>870</v>
      </c>
      <c r="D41" s="29">
        <v>975</v>
      </c>
      <c r="E41" s="25" t="s">
        <v>111</v>
      </c>
      <c r="F41" s="33">
        <f t="shared" si="5"/>
        <v>1.0116279069767442</v>
      </c>
      <c r="G41" s="28">
        <f t="shared" si="6"/>
        <v>1.1337209302325582</v>
      </c>
      <c r="H41" s="29">
        <v>41</v>
      </c>
      <c r="I41" s="29">
        <v>1.06</v>
      </c>
      <c r="J41" s="29">
        <v>34.299999999999997</v>
      </c>
      <c r="K41" s="29">
        <v>334</v>
      </c>
      <c r="L41" s="29">
        <v>1.52</v>
      </c>
      <c r="M41" s="29">
        <v>26.5</v>
      </c>
      <c r="N41" s="29">
        <v>1.9</v>
      </c>
      <c r="O41" s="29">
        <v>19</v>
      </c>
      <c r="P41" s="29">
        <v>1.32</v>
      </c>
      <c r="Q41" s="29">
        <v>17.2</v>
      </c>
      <c r="R41" s="29">
        <v>15.7</v>
      </c>
      <c r="S41" s="29">
        <v>153</v>
      </c>
      <c r="T41" s="29">
        <v>4.17</v>
      </c>
      <c r="U41" s="29">
        <v>26.2</v>
      </c>
      <c r="V41" s="29">
        <v>227</v>
      </c>
      <c r="W41" s="29">
        <v>1.71</v>
      </c>
    </row>
    <row r="42" spans="1:23">
      <c r="A42" s="6" t="s">
        <v>16</v>
      </c>
      <c r="B42" s="6">
        <v>2022</v>
      </c>
      <c r="C42" s="32">
        <v>1000</v>
      </c>
      <c r="D42" s="29">
        <v>1170</v>
      </c>
      <c r="E42" s="25" t="s">
        <v>112</v>
      </c>
      <c r="F42" s="33">
        <f t="shared" si="5"/>
        <v>1.1918951132300357</v>
      </c>
      <c r="G42" s="28">
        <f t="shared" si="6"/>
        <v>1.3945172824791419</v>
      </c>
      <c r="H42" s="29">
        <v>50</v>
      </c>
      <c r="I42" s="29">
        <v>1.1299999999999999</v>
      </c>
      <c r="J42" s="29">
        <v>37.9</v>
      </c>
      <c r="K42" s="29">
        <v>444</v>
      </c>
      <c r="L42" s="29">
        <v>1.67</v>
      </c>
      <c r="M42" s="29">
        <v>24.2</v>
      </c>
      <c r="N42" s="29">
        <v>1.9</v>
      </c>
      <c r="O42" s="29">
        <v>22</v>
      </c>
      <c r="P42" s="29">
        <v>1.38</v>
      </c>
      <c r="Q42" s="29">
        <v>13.3</v>
      </c>
      <c r="R42" s="29">
        <v>17.899999999999999</v>
      </c>
      <c r="S42" s="29">
        <v>210</v>
      </c>
      <c r="T42" s="29">
        <v>4.54</v>
      </c>
      <c r="U42" s="29">
        <v>27.6</v>
      </c>
      <c r="V42" s="29">
        <v>287</v>
      </c>
      <c r="W42" s="29">
        <v>2.2200000000000002</v>
      </c>
    </row>
    <row r="43" spans="1:23">
      <c r="A43" s="6" t="s">
        <v>16</v>
      </c>
      <c r="B43" s="6">
        <v>2023</v>
      </c>
      <c r="C43" s="32">
        <v>848</v>
      </c>
      <c r="D43" s="29">
        <v>1085</v>
      </c>
      <c r="E43" s="25" t="s">
        <v>113</v>
      </c>
      <c r="F43" s="33">
        <f t="shared" si="5"/>
        <v>0.98375870069605564</v>
      </c>
      <c r="G43" s="28">
        <f t="shared" si="6"/>
        <v>1.2587006960556844</v>
      </c>
      <c r="H43" s="29">
        <v>60</v>
      </c>
      <c r="I43" s="29">
        <v>1.1000000000000001</v>
      </c>
      <c r="J43" s="29">
        <v>38.9</v>
      </c>
      <c r="K43" s="29">
        <v>422</v>
      </c>
      <c r="L43" s="29">
        <v>1.66</v>
      </c>
      <c r="M43" s="29">
        <v>15.3</v>
      </c>
      <c r="N43" s="29">
        <v>2.4</v>
      </c>
      <c r="O43" s="29">
        <v>26</v>
      </c>
      <c r="P43" s="29">
        <v>0.9</v>
      </c>
      <c r="Q43" s="29">
        <v>6.2</v>
      </c>
      <c r="R43" s="29">
        <v>18.600000000000001</v>
      </c>
      <c r="S43" s="29">
        <v>202</v>
      </c>
      <c r="T43" s="29">
        <v>4.45</v>
      </c>
      <c r="U43" s="29">
        <v>32.5</v>
      </c>
      <c r="V43" s="29">
        <v>311</v>
      </c>
      <c r="W43" s="29">
        <v>1.92</v>
      </c>
    </row>
    <row r="44" spans="1:23">
      <c r="A44" s="6" t="s">
        <v>16</v>
      </c>
      <c r="B44" s="6">
        <v>2024</v>
      </c>
      <c r="C44" s="32">
        <v>885</v>
      </c>
      <c r="D44" s="29">
        <v>1158</v>
      </c>
      <c r="E44" s="25" t="s">
        <v>110</v>
      </c>
      <c r="F44" s="33">
        <f t="shared" si="5"/>
        <v>1.0243055555555556</v>
      </c>
      <c r="G44" s="28">
        <f t="shared" si="6"/>
        <v>1.3402777777777777</v>
      </c>
      <c r="H44" s="29">
        <v>76</v>
      </c>
      <c r="I44" s="29">
        <v>1.06</v>
      </c>
      <c r="J44" s="29">
        <v>38</v>
      </c>
      <c r="K44" s="29">
        <v>440</v>
      </c>
      <c r="L44" s="29">
        <v>1.67</v>
      </c>
      <c r="M44" s="29">
        <v>5.7</v>
      </c>
      <c r="N44" s="29">
        <v>2</v>
      </c>
      <c r="O44" s="29">
        <v>23</v>
      </c>
      <c r="P44" s="29">
        <v>2.2000000000000002</v>
      </c>
      <c r="Q44" s="29">
        <v>8.6999999999999993</v>
      </c>
      <c r="R44" s="29">
        <v>14.7</v>
      </c>
      <c r="S44" s="29">
        <v>170</v>
      </c>
      <c r="T44" s="29">
        <v>5.47</v>
      </c>
      <c r="U44" s="29">
        <v>36.4</v>
      </c>
      <c r="V44" s="29">
        <v>372</v>
      </c>
      <c r="W44" s="29">
        <v>1.72</v>
      </c>
    </row>
    <row r="45" spans="1:23">
      <c r="A45" s="6" t="s">
        <v>24</v>
      </c>
      <c r="B45" s="6">
        <v>2025</v>
      </c>
      <c r="C45" s="32">
        <v>961</v>
      </c>
      <c r="D45" s="30"/>
      <c r="E45" s="25" t="s">
        <v>114</v>
      </c>
      <c r="F45" s="27"/>
      <c r="G45" s="27"/>
      <c r="H45" s="30"/>
      <c r="I45" s="30"/>
      <c r="J45" s="30"/>
      <c r="K45" s="31"/>
      <c r="L45" s="30"/>
      <c r="M45" s="30"/>
      <c r="N45" s="30"/>
      <c r="O45" s="31"/>
      <c r="P45" s="30"/>
      <c r="Q45" s="30"/>
      <c r="R45" s="30"/>
      <c r="S45" s="31"/>
      <c r="T45" s="30"/>
      <c r="U45" s="30"/>
      <c r="V45" s="31"/>
      <c r="W45" s="30"/>
    </row>
    <row r="46" spans="1:23">
      <c r="A46" s="6" t="s">
        <v>24</v>
      </c>
      <c r="B46" s="6" t="s">
        <v>81</v>
      </c>
      <c r="C46" s="32"/>
      <c r="D46" s="29"/>
      <c r="E46" s="25"/>
      <c r="F46" s="28"/>
      <c r="G46" s="28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</row>
    <row r="47" spans="1:23">
      <c r="A47" s="6" t="s">
        <v>17</v>
      </c>
      <c r="B47" s="6">
        <v>2018</v>
      </c>
      <c r="C47" s="32">
        <v>291</v>
      </c>
      <c r="D47" s="29">
        <v>474</v>
      </c>
      <c r="E47" s="25" t="s">
        <v>102</v>
      </c>
      <c r="F47" s="28">
        <f t="shared" ref="F47:F53" si="7">C47/E47</f>
        <v>0.70802919708029199</v>
      </c>
      <c r="G47" s="28">
        <f>D47/E47</f>
        <v>1.1532846715328466</v>
      </c>
      <c r="H47" s="29">
        <v>28</v>
      </c>
      <c r="I47" s="29">
        <v>0.69</v>
      </c>
      <c r="J47" s="29">
        <v>22.4</v>
      </c>
      <c r="K47" s="29">
        <v>106</v>
      </c>
      <c r="L47" s="29">
        <v>1.04</v>
      </c>
      <c r="M47" s="29">
        <v>24.7</v>
      </c>
      <c r="N47" s="29">
        <v>3.2</v>
      </c>
      <c r="O47" s="29">
        <v>15</v>
      </c>
      <c r="P47" s="29">
        <v>0.65</v>
      </c>
      <c r="Q47" s="29">
        <v>6.5</v>
      </c>
      <c r="R47" s="29">
        <v>7.8</v>
      </c>
      <c r="S47" s="29">
        <v>37</v>
      </c>
      <c r="T47" s="29">
        <v>1.92</v>
      </c>
      <c r="U47" s="29">
        <v>21.7</v>
      </c>
      <c r="V47" s="29">
        <v>79</v>
      </c>
      <c r="W47" s="29">
        <v>3.93</v>
      </c>
    </row>
    <row r="48" spans="1:23">
      <c r="A48" s="6" t="s">
        <v>17</v>
      </c>
      <c r="B48" s="6">
        <v>2019</v>
      </c>
      <c r="C48" s="32">
        <v>383</v>
      </c>
      <c r="D48" s="29">
        <v>551</v>
      </c>
      <c r="E48" s="25" t="s">
        <v>115</v>
      </c>
      <c r="F48" s="28">
        <f t="shared" si="7"/>
        <v>0.91190476190476188</v>
      </c>
      <c r="G48" s="28">
        <f>D48/E48</f>
        <v>1.3119047619047619</v>
      </c>
      <c r="H48" s="29">
        <v>29</v>
      </c>
      <c r="I48" s="29">
        <v>0.85</v>
      </c>
      <c r="J48" s="29">
        <v>28.9</v>
      </c>
      <c r="K48" s="29">
        <v>159</v>
      </c>
      <c r="L48" s="29">
        <v>1.1599999999999999</v>
      </c>
      <c r="M48" s="29">
        <v>26.4</v>
      </c>
      <c r="N48" s="29">
        <v>2.2000000000000002</v>
      </c>
      <c r="O48" s="29">
        <v>12</v>
      </c>
      <c r="P48" s="29">
        <v>0.49</v>
      </c>
      <c r="Q48" s="29">
        <v>11.9</v>
      </c>
      <c r="R48" s="29">
        <v>11.3</v>
      </c>
      <c r="S48" s="29">
        <v>62</v>
      </c>
      <c r="T48" s="29">
        <v>1.9</v>
      </c>
      <c r="U48" s="29">
        <v>25.3</v>
      </c>
      <c r="V48" s="29">
        <v>117</v>
      </c>
      <c r="W48" s="29">
        <v>3.97</v>
      </c>
    </row>
    <row r="49" spans="1:23">
      <c r="A49" s="6" t="s">
        <v>17</v>
      </c>
      <c r="B49" s="6">
        <v>2020</v>
      </c>
      <c r="C49" s="32">
        <v>510</v>
      </c>
      <c r="D49" s="29">
        <v>694</v>
      </c>
      <c r="E49" s="25" t="s">
        <v>116</v>
      </c>
      <c r="F49" s="28">
        <f t="shared" si="7"/>
        <v>1.2</v>
      </c>
      <c r="G49" s="28">
        <f>D49/E49</f>
        <v>1.6329411764705883</v>
      </c>
      <c r="H49" s="29">
        <v>30</v>
      </c>
      <c r="I49" s="29">
        <v>1.28</v>
      </c>
      <c r="J49" s="29">
        <v>46</v>
      </c>
      <c r="K49" s="29">
        <v>319</v>
      </c>
      <c r="L49" s="29">
        <v>2.0299999999999998</v>
      </c>
      <c r="M49" s="29">
        <v>37.5</v>
      </c>
      <c r="N49" s="29">
        <v>1</v>
      </c>
      <c r="O49" s="29">
        <v>7</v>
      </c>
      <c r="P49" s="29">
        <v>0.86</v>
      </c>
      <c r="Q49" s="29">
        <v>28.1</v>
      </c>
      <c r="R49" s="29">
        <v>17.7</v>
      </c>
      <c r="S49" s="29">
        <v>123</v>
      </c>
      <c r="T49" s="29">
        <v>2.0299999999999998</v>
      </c>
      <c r="U49" s="29">
        <v>26.1</v>
      </c>
      <c r="V49" s="29">
        <v>148</v>
      </c>
      <c r="W49" s="29">
        <v>5.42</v>
      </c>
    </row>
    <row r="50" spans="1:23">
      <c r="A50" s="6" t="s">
        <v>17</v>
      </c>
      <c r="B50" s="6">
        <v>2021</v>
      </c>
      <c r="C50" s="32">
        <v>865</v>
      </c>
      <c r="D50" s="29">
        <v>942</v>
      </c>
      <c r="E50" s="25" t="s">
        <v>117</v>
      </c>
      <c r="F50" s="28">
        <f t="shared" si="7"/>
        <v>2.0693779904306222</v>
      </c>
      <c r="G50" s="28">
        <f>D50/E50</f>
        <v>2.2535885167464116</v>
      </c>
      <c r="H50" s="29">
        <v>38</v>
      </c>
      <c r="I50" s="29">
        <v>1.96</v>
      </c>
      <c r="J50" s="29">
        <v>55.4</v>
      </c>
      <c r="K50" s="29">
        <v>522</v>
      </c>
      <c r="L50" s="29">
        <v>2.99</v>
      </c>
      <c r="M50" s="29">
        <v>44.5</v>
      </c>
      <c r="N50" s="29">
        <v>2</v>
      </c>
      <c r="O50" s="29">
        <v>19</v>
      </c>
      <c r="P50" s="29">
        <v>3.83</v>
      </c>
      <c r="Q50" s="29">
        <v>50.1</v>
      </c>
      <c r="R50" s="29">
        <v>23</v>
      </c>
      <c r="S50" s="29">
        <v>217</v>
      </c>
      <c r="T50" s="29">
        <v>4.2</v>
      </c>
      <c r="U50" s="29">
        <v>33.799999999999997</v>
      </c>
      <c r="V50" s="29">
        <v>276</v>
      </c>
      <c r="W50" s="29">
        <v>6.99</v>
      </c>
    </row>
    <row r="51" spans="1:23">
      <c r="A51" s="6" t="s">
        <v>17</v>
      </c>
      <c r="B51" s="6">
        <v>2022</v>
      </c>
      <c r="C51" s="32">
        <v>915</v>
      </c>
      <c r="D51" s="29">
        <v>1034</v>
      </c>
      <c r="E51" s="25" t="s">
        <v>102</v>
      </c>
      <c r="F51" s="28">
        <f t="shared" si="7"/>
        <v>2.2262773722627736</v>
      </c>
      <c r="G51" s="27">
        <v>2.48</v>
      </c>
      <c r="H51" s="29">
        <v>56</v>
      </c>
      <c r="I51" s="29">
        <v>2.23</v>
      </c>
      <c r="J51" s="29">
        <v>63.2</v>
      </c>
      <c r="K51" s="29">
        <v>654</v>
      </c>
      <c r="L51" s="29">
        <v>3.01</v>
      </c>
      <c r="M51" s="29">
        <v>31.9</v>
      </c>
      <c r="N51" s="29">
        <v>3</v>
      </c>
      <c r="O51" s="29">
        <v>31</v>
      </c>
      <c r="P51" s="29">
        <v>8.69</v>
      </c>
      <c r="Q51" s="29">
        <v>85.3</v>
      </c>
      <c r="R51" s="29">
        <v>27.2</v>
      </c>
      <c r="S51" s="29">
        <v>281</v>
      </c>
      <c r="T51" s="29">
        <v>4.53</v>
      </c>
      <c r="U51" s="29">
        <v>34.700000000000003</v>
      </c>
      <c r="V51" s="29">
        <v>333</v>
      </c>
      <c r="W51" s="29">
        <v>7.68</v>
      </c>
    </row>
    <row r="52" spans="1:23">
      <c r="A52" s="6" t="s">
        <v>17</v>
      </c>
      <c r="B52" s="6">
        <v>2023</v>
      </c>
      <c r="C52" s="32">
        <v>714</v>
      </c>
      <c r="D52" s="29">
        <v>929</v>
      </c>
      <c r="E52" s="25" t="s">
        <v>115</v>
      </c>
      <c r="F52" s="28">
        <f t="shared" si="7"/>
        <v>1.7</v>
      </c>
      <c r="G52" s="28">
        <f>D52/E52</f>
        <v>2.211904761904762</v>
      </c>
      <c r="H52" s="29">
        <v>75</v>
      </c>
      <c r="I52" s="29">
        <v>1.92</v>
      </c>
      <c r="J52" s="29">
        <v>57.6</v>
      </c>
      <c r="K52" s="29">
        <v>535</v>
      </c>
      <c r="L52" s="29">
        <v>2.84</v>
      </c>
      <c r="M52" s="29">
        <v>21.4</v>
      </c>
      <c r="N52" s="29">
        <v>1.6</v>
      </c>
      <c r="O52" s="29">
        <v>15</v>
      </c>
      <c r="P52" s="29">
        <v>14.98</v>
      </c>
      <c r="Q52" s="29">
        <v>86.9</v>
      </c>
      <c r="R52" s="29">
        <v>25</v>
      </c>
      <c r="S52" s="29">
        <v>232</v>
      </c>
      <c r="T52" s="29">
        <v>3.71</v>
      </c>
      <c r="U52" s="29">
        <v>37.5</v>
      </c>
      <c r="V52" s="29">
        <v>315</v>
      </c>
      <c r="W52" s="29">
        <v>7.06</v>
      </c>
    </row>
    <row r="53" spans="1:23">
      <c r="A53" s="6" t="s">
        <v>17</v>
      </c>
      <c r="B53" s="6">
        <v>2024</v>
      </c>
      <c r="C53" s="32">
        <v>672</v>
      </c>
      <c r="D53" s="29">
        <v>884</v>
      </c>
      <c r="E53" s="25" t="s">
        <v>118</v>
      </c>
      <c r="F53" s="28">
        <f t="shared" si="7"/>
        <v>1.6551724137931034</v>
      </c>
      <c r="G53" s="28">
        <f>D53/E53</f>
        <v>2.1773399014778323</v>
      </c>
      <c r="H53" s="29">
        <v>93</v>
      </c>
      <c r="I53" s="29">
        <v>4.17</v>
      </c>
      <c r="J53" s="29">
        <v>56</v>
      </c>
      <c r="K53" s="29">
        <v>495</v>
      </c>
      <c r="L53" s="29">
        <v>6.52</v>
      </c>
      <c r="M53" s="29">
        <v>17</v>
      </c>
      <c r="N53" s="29">
        <v>1.6</v>
      </c>
      <c r="O53" s="29">
        <v>14</v>
      </c>
      <c r="P53" s="29">
        <v>144.15</v>
      </c>
      <c r="Q53" s="29">
        <v>284.89999999999998</v>
      </c>
      <c r="R53" s="29">
        <v>25.3</v>
      </c>
      <c r="S53" s="29">
        <v>224</v>
      </c>
      <c r="T53" s="29">
        <v>9.51</v>
      </c>
      <c r="U53" s="29">
        <v>38.6</v>
      </c>
      <c r="V53" s="29">
        <v>306</v>
      </c>
      <c r="W53" s="29">
        <v>19.059999999999999</v>
      </c>
    </row>
    <row r="54" spans="1:23">
      <c r="A54" s="6" t="s">
        <v>27</v>
      </c>
      <c r="B54" s="6">
        <v>2025</v>
      </c>
      <c r="C54" s="32">
        <v>801</v>
      </c>
      <c r="D54" s="30"/>
      <c r="E54" s="25" t="s">
        <v>119</v>
      </c>
      <c r="F54" s="27"/>
      <c r="G54" s="27"/>
      <c r="H54" s="30"/>
      <c r="I54" s="30"/>
      <c r="J54" s="30"/>
      <c r="K54" s="31"/>
      <c r="L54" s="30"/>
      <c r="M54" s="30"/>
      <c r="N54" s="30"/>
      <c r="O54" s="31"/>
      <c r="P54" s="30"/>
      <c r="Q54" s="30"/>
      <c r="R54" s="30"/>
      <c r="S54" s="31"/>
      <c r="T54" s="30"/>
      <c r="U54" s="30"/>
      <c r="V54" s="31"/>
      <c r="W54" s="30"/>
    </row>
    <row r="55" spans="1:23">
      <c r="A55" s="6" t="s">
        <v>27</v>
      </c>
      <c r="B55" s="6" t="s">
        <v>81</v>
      </c>
      <c r="C55" s="27"/>
      <c r="D55" s="29"/>
      <c r="E55" s="25"/>
      <c r="F55" s="28"/>
      <c r="G55" s="28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</row>
    <row r="56" spans="1:23">
      <c r="A56" s="6" t="s">
        <v>61</v>
      </c>
      <c r="B56" s="6">
        <v>2018</v>
      </c>
      <c r="C56" s="32">
        <v>887</v>
      </c>
      <c r="D56" s="29">
        <v>1329</v>
      </c>
      <c r="E56" s="25" t="s">
        <v>120</v>
      </c>
      <c r="F56" s="28">
        <f t="shared" ref="F56:F62" si="8">C56/E56</f>
        <v>1.777555110220441</v>
      </c>
      <c r="G56" s="28">
        <f>D56/E56</f>
        <v>2.6633266533066133</v>
      </c>
      <c r="H56" s="29">
        <v>64</v>
      </c>
      <c r="I56" s="29">
        <v>1.1499999999999999</v>
      </c>
      <c r="J56" s="29">
        <v>33.299999999999997</v>
      </c>
      <c r="K56" s="29">
        <v>442</v>
      </c>
      <c r="L56" s="29">
        <v>1.66</v>
      </c>
      <c r="M56" s="29">
        <v>35.9</v>
      </c>
      <c r="N56" s="29">
        <v>2</v>
      </c>
      <c r="O56" s="29">
        <v>27</v>
      </c>
      <c r="P56" s="29">
        <v>2.11</v>
      </c>
      <c r="Q56" s="29">
        <v>31.4</v>
      </c>
      <c r="R56" s="29">
        <v>14.1</v>
      </c>
      <c r="S56" s="29">
        <v>188</v>
      </c>
      <c r="T56" s="29">
        <v>5</v>
      </c>
      <c r="U56" s="29">
        <v>36.700000000000003</v>
      </c>
      <c r="V56" s="29">
        <v>371</v>
      </c>
      <c r="W56" s="29">
        <v>2.12</v>
      </c>
    </row>
    <row r="57" spans="1:23">
      <c r="A57" s="6" t="s">
        <v>61</v>
      </c>
      <c r="B57" s="6">
        <v>2019</v>
      </c>
      <c r="C57" s="32">
        <v>1061</v>
      </c>
      <c r="D57" s="29">
        <v>1469</v>
      </c>
      <c r="E57" s="25" t="s">
        <v>121</v>
      </c>
      <c r="F57" s="28">
        <f t="shared" si="8"/>
        <v>1.994360902255639</v>
      </c>
      <c r="G57" s="28">
        <f>D57/E57</f>
        <v>2.761278195488722</v>
      </c>
      <c r="H57" s="29">
        <v>69</v>
      </c>
      <c r="I57" s="29">
        <v>1.1599999999999999</v>
      </c>
      <c r="J57" s="29">
        <v>36.1</v>
      </c>
      <c r="K57" s="29">
        <v>530</v>
      </c>
      <c r="L57" s="29">
        <v>1.56</v>
      </c>
      <c r="M57" s="29">
        <v>32.5</v>
      </c>
      <c r="N57" s="29">
        <v>1.8</v>
      </c>
      <c r="O57" s="29">
        <v>26</v>
      </c>
      <c r="P57" s="29">
        <v>1.7</v>
      </c>
      <c r="Q57" s="29">
        <v>23.5</v>
      </c>
      <c r="R57" s="29">
        <v>17</v>
      </c>
      <c r="S57" s="29">
        <v>249</v>
      </c>
      <c r="T57" s="29">
        <v>4.51</v>
      </c>
      <c r="U57" s="29">
        <v>38.200000000000003</v>
      </c>
      <c r="V57" s="29">
        <v>432</v>
      </c>
      <c r="W57" s="29">
        <v>1.96</v>
      </c>
    </row>
    <row r="58" spans="1:23">
      <c r="A58" s="6" t="s">
        <v>61</v>
      </c>
      <c r="B58" s="6">
        <v>2020</v>
      </c>
      <c r="C58" s="32">
        <v>1240</v>
      </c>
      <c r="D58" s="29">
        <v>1585</v>
      </c>
      <c r="E58" s="25" t="s">
        <v>122</v>
      </c>
      <c r="F58" s="28">
        <f t="shared" si="8"/>
        <v>2.2142857142857144</v>
      </c>
      <c r="G58" s="28">
        <f>D58/E58</f>
        <v>2.8303571428571428</v>
      </c>
      <c r="H58" s="29">
        <v>67</v>
      </c>
      <c r="I58" s="29">
        <v>1.24</v>
      </c>
      <c r="J58" s="29">
        <v>39.4</v>
      </c>
      <c r="K58" s="29">
        <v>625</v>
      </c>
      <c r="L58" s="29">
        <v>1.75</v>
      </c>
      <c r="M58" s="29">
        <v>34.799999999999997</v>
      </c>
      <c r="N58" s="29">
        <v>2</v>
      </c>
      <c r="O58" s="29">
        <v>31</v>
      </c>
      <c r="P58" s="29">
        <v>1.63</v>
      </c>
      <c r="Q58" s="29">
        <v>26.2</v>
      </c>
      <c r="R58" s="29">
        <v>18</v>
      </c>
      <c r="S58" s="29">
        <v>285</v>
      </c>
      <c r="T58" s="29">
        <v>4.7699999999999996</v>
      </c>
      <c r="U58" s="29">
        <v>37.6</v>
      </c>
      <c r="V58" s="29">
        <v>501</v>
      </c>
      <c r="W58" s="29">
        <v>1.97</v>
      </c>
    </row>
    <row r="59" spans="1:23">
      <c r="A59" s="6" t="s">
        <v>61</v>
      </c>
      <c r="B59" s="6">
        <v>2021</v>
      </c>
      <c r="C59" s="32">
        <v>1487</v>
      </c>
      <c r="D59" s="29">
        <v>1711</v>
      </c>
      <c r="E59" s="25" t="s">
        <v>123</v>
      </c>
      <c r="F59" s="28">
        <f t="shared" si="8"/>
        <v>2.8486590038314175</v>
      </c>
      <c r="G59" s="28">
        <f>D59/E59</f>
        <v>3.2777777777777777</v>
      </c>
      <c r="H59" s="29">
        <v>72</v>
      </c>
      <c r="I59" s="29">
        <v>1.23</v>
      </c>
      <c r="J59" s="29">
        <v>39.299999999999997</v>
      </c>
      <c r="K59" s="29">
        <v>673</v>
      </c>
      <c r="L59" s="29">
        <v>1.61</v>
      </c>
      <c r="M59" s="29">
        <v>26</v>
      </c>
      <c r="N59" s="29">
        <v>2.5</v>
      </c>
      <c r="O59" s="29">
        <v>43</v>
      </c>
      <c r="P59" s="29">
        <v>1.48</v>
      </c>
      <c r="Q59" s="29">
        <v>21.6</v>
      </c>
      <c r="R59" s="29">
        <v>18.899999999999999</v>
      </c>
      <c r="S59" s="29">
        <v>324</v>
      </c>
      <c r="T59" s="29">
        <v>4.55</v>
      </c>
      <c r="U59" s="29">
        <v>41.4</v>
      </c>
      <c r="V59" s="29">
        <v>615</v>
      </c>
      <c r="W59" s="29">
        <v>2.0099999999999998</v>
      </c>
    </row>
    <row r="60" spans="1:23">
      <c r="A60" s="6" t="s">
        <v>61</v>
      </c>
      <c r="B60" s="6">
        <v>2022</v>
      </c>
      <c r="C60" s="32">
        <v>1371</v>
      </c>
      <c r="D60" s="29">
        <v>1667</v>
      </c>
      <c r="E60" s="25" t="s">
        <v>123</v>
      </c>
      <c r="F60" s="28">
        <f t="shared" si="8"/>
        <v>2.6264367816091956</v>
      </c>
      <c r="G60" s="27">
        <v>3.04</v>
      </c>
      <c r="H60" s="29">
        <v>82</v>
      </c>
      <c r="I60" s="29">
        <v>1.22</v>
      </c>
      <c r="J60" s="29">
        <v>38.700000000000003</v>
      </c>
      <c r="K60" s="29">
        <v>645</v>
      </c>
      <c r="L60" s="29">
        <v>1.44</v>
      </c>
      <c r="M60" s="29">
        <v>18.8</v>
      </c>
      <c r="N60" s="29">
        <v>2.2999999999999998</v>
      </c>
      <c r="O60" s="29">
        <v>39</v>
      </c>
      <c r="P60" s="29">
        <v>1.21</v>
      </c>
      <c r="Q60" s="29">
        <v>16.8</v>
      </c>
      <c r="R60" s="29">
        <v>20.2</v>
      </c>
      <c r="S60" s="29">
        <v>337</v>
      </c>
      <c r="T60" s="29">
        <v>4.72</v>
      </c>
      <c r="U60" s="29">
        <v>40.1</v>
      </c>
      <c r="V60" s="29">
        <v>590</v>
      </c>
      <c r="W60" s="29">
        <v>2.06</v>
      </c>
    </row>
    <row r="61" spans="1:23">
      <c r="A61" s="6" t="s">
        <v>61</v>
      </c>
      <c r="B61" s="6">
        <v>2023</v>
      </c>
      <c r="C61" s="32">
        <v>1278</v>
      </c>
      <c r="D61" s="29">
        <v>1736</v>
      </c>
      <c r="E61" s="25" t="s">
        <v>124</v>
      </c>
      <c r="F61" s="28">
        <f t="shared" si="8"/>
        <v>2.3110307414104883</v>
      </c>
      <c r="G61" s="28">
        <f>D61/E61</f>
        <v>3.1392405063291138</v>
      </c>
      <c r="H61" s="29">
        <v>87</v>
      </c>
      <c r="I61" s="29">
        <v>1.22</v>
      </c>
      <c r="J61" s="29">
        <v>40.4</v>
      </c>
      <c r="K61" s="29">
        <v>702</v>
      </c>
      <c r="L61" s="29">
        <v>1.48</v>
      </c>
      <c r="M61" s="29">
        <v>13</v>
      </c>
      <c r="N61" s="29">
        <v>2.4</v>
      </c>
      <c r="O61" s="29">
        <v>41</v>
      </c>
      <c r="P61" s="29">
        <v>1.28</v>
      </c>
      <c r="Q61" s="29">
        <v>9.8000000000000007</v>
      </c>
      <c r="R61" s="29">
        <v>20.7</v>
      </c>
      <c r="S61" s="29">
        <v>360</v>
      </c>
      <c r="T61" s="29">
        <v>4.54</v>
      </c>
      <c r="U61" s="29">
        <v>44.1</v>
      </c>
      <c r="V61" s="29">
        <v>614</v>
      </c>
      <c r="W61" s="29">
        <v>2.12</v>
      </c>
    </row>
    <row r="62" spans="1:23">
      <c r="A62" s="6" t="s">
        <v>61</v>
      </c>
      <c r="B62" s="6">
        <v>2024</v>
      </c>
      <c r="C62" s="32">
        <v>1215</v>
      </c>
      <c r="D62" s="29">
        <v>1718</v>
      </c>
      <c r="E62" s="25" t="s">
        <v>125</v>
      </c>
      <c r="F62" s="28">
        <f t="shared" si="8"/>
        <v>2.1241258741258742</v>
      </c>
      <c r="G62" s="28">
        <f>D62/E62</f>
        <v>3.0034965034965033</v>
      </c>
      <c r="H62" s="29">
        <v>93</v>
      </c>
      <c r="I62" s="29">
        <v>1.1599999999999999</v>
      </c>
      <c r="J62" s="29">
        <v>41.2</v>
      </c>
      <c r="K62" s="29">
        <v>708</v>
      </c>
      <c r="L62" s="29">
        <v>1.41</v>
      </c>
      <c r="M62" s="29">
        <v>6.1</v>
      </c>
      <c r="N62" s="29">
        <v>2.4</v>
      </c>
      <c r="O62" s="29">
        <v>42</v>
      </c>
      <c r="P62" s="29">
        <v>1.83</v>
      </c>
      <c r="Q62" s="29">
        <v>5.7</v>
      </c>
      <c r="R62" s="29">
        <v>21.6</v>
      </c>
      <c r="S62" s="29">
        <v>371</v>
      </c>
      <c r="T62" s="29">
        <v>4.7</v>
      </c>
      <c r="U62" s="29">
        <v>44</v>
      </c>
      <c r="V62" s="29">
        <v>649</v>
      </c>
      <c r="W62" s="29">
        <v>1.89</v>
      </c>
    </row>
    <row r="63" spans="1:23">
      <c r="A63" s="6" t="s">
        <v>61</v>
      </c>
      <c r="B63" s="6">
        <v>2025</v>
      </c>
      <c r="C63" s="32">
        <v>1415</v>
      </c>
      <c r="E63" s="25" t="s">
        <v>126</v>
      </c>
    </row>
    <row r="64" spans="1:23">
      <c r="A64" s="6" t="s">
        <v>61</v>
      </c>
      <c r="B64" s="6" t="s">
        <v>81</v>
      </c>
      <c r="D64"/>
      <c r="F64" s="18"/>
      <c r="G64" s="18"/>
      <c r="H64"/>
      <c r="I64"/>
      <c r="J64"/>
      <c r="K64"/>
      <c r="L64"/>
      <c r="M64"/>
      <c r="N64"/>
      <c r="O64"/>
      <c r="P64"/>
      <c r="Q64"/>
      <c r="R64"/>
      <c r="S64"/>
      <c r="T64" s="19"/>
      <c r="U64"/>
      <c r="V64"/>
      <c r="W64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9"/>
  <sheetViews>
    <sheetView workbookViewId="0">
      <pane ySplit="1" topLeftCell="A2" activePane="bottomLeft" state="frozen"/>
      <selection pane="bottomLeft" sqref="A1:XFD1"/>
    </sheetView>
  </sheetViews>
  <sheetFormatPr defaultColWidth="8.8984375" defaultRowHeight="15.6"/>
  <cols>
    <col min="1" max="2" width="9" style="1" customWidth="1"/>
    <col min="3" max="3" width="27.8984375" style="1" bestFit="1" customWidth="1"/>
    <col min="4" max="4" width="13.3984375" style="16" customWidth="1"/>
    <col min="5" max="5" width="15.296875" style="16" customWidth="1"/>
    <col min="6" max="6" width="22.19921875" style="16" customWidth="1"/>
    <col min="7" max="7" width="20.8984375" style="16" customWidth="1"/>
    <col min="8" max="8" width="22.19921875" style="16" customWidth="1"/>
    <col min="9" max="9" width="27.09765625" style="16" bestFit="1" customWidth="1"/>
    <col min="10" max="16384" width="8.8984375" style="1"/>
  </cols>
  <sheetData>
    <row r="1" spans="1:9">
      <c r="A1" s="1" t="s">
        <v>0</v>
      </c>
      <c r="B1" s="1" t="s">
        <v>1</v>
      </c>
      <c r="C1" s="1" t="s">
        <v>18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>
      <c r="A2" s="1" t="s">
        <v>13</v>
      </c>
      <c r="B2" s="1">
        <v>2018</v>
      </c>
      <c r="C2" s="1" t="s">
        <v>19</v>
      </c>
      <c r="D2">
        <v>13</v>
      </c>
      <c r="E2">
        <v>1.0900000000000001</v>
      </c>
      <c r="F2">
        <v>46.2</v>
      </c>
      <c r="G2">
        <v>30.3</v>
      </c>
      <c r="H2">
        <v>0</v>
      </c>
      <c r="I2" t="s">
        <v>20</v>
      </c>
    </row>
    <row r="3" spans="1:9">
      <c r="A3" s="1" t="s">
        <v>13</v>
      </c>
      <c r="B3" s="1">
        <v>2019</v>
      </c>
      <c r="C3" s="1" t="s">
        <v>19</v>
      </c>
      <c r="D3">
        <v>17</v>
      </c>
      <c r="E3">
        <v>0.99</v>
      </c>
      <c r="F3">
        <v>17.600000000000001</v>
      </c>
      <c r="G3">
        <v>13.3</v>
      </c>
      <c r="H3">
        <v>0</v>
      </c>
      <c r="I3" t="s">
        <v>20</v>
      </c>
    </row>
    <row r="4" spans="1:9">
      <c r="A4" s="1" t="s">
        <v>13</v>
      </c>
      <c r="B4" s="1">
        <v>2020</v>
      </c>
      <c r="C4" s="1" t="s">
        <v>19</v>
      </c>
      <c r="D4">
        <v>14</v>
      </c>
      <c r="E4">
        <v>1.64</v>
      </c>
      <c r="F4">
        <v>42.9</v>
      </c>
      <c r="G4">
        <v>32.200000000000003</v>
      </c>
      <c r="H4">
        <v>14.3</v>
      </c>
      <c r="I4">
        <v>26.5</v>
      </c>
    </row>
    <row r="5" spans="1:9">
      <c r="A5" s="1" t="s">
        <v>13</v>
      </c>
      <c r="B5" s="1">
        <v>2021</v>
      </c>
      <c r="C5" s="1" t="s">
        <v>19</v>
      </c>
      <c r="D5">
        <v>16</v>
      </c>
      <c r="E5">
        <v>1.72</v>
      </c>
      <c r="F5">
        <v>25</v>
      </c>
      <c r="G5">
        <v>16.5</v>
      </c>
      <c r="H5">
        <v>6.3</v>
      </c>
      <c r="I5">
        <v>27</v>
      </c>
    </row>
    <row r="6" spans="1:9">
      <c r="A6" s="1" t="s">
        <v>13</v>
      </c>
      <c r="B6" s="1">
        <v>2022</v>
      </c>
      <c r="C6" s="1" t="s">
        <v>19</v>
      </c>
      <c r="D6">
        <v>16</v>
      </c>
      <c r="E6">
        <v>1.38</v>
      </c>
      <c r="F6">
        <v>43.8</v>
      </c>
      <c r="G6">
        <v>14.9</v>
      </c>
      <c r="H6">
        <v>0</v>
      </c>
      <c r="I6" t="s">
        <v>20</v>
      </c>
    </row>
    <row r="7" spans="1:9">
      <c r="A7" s="1" t="s">
        <v>13</v>
      </c>
      <c r="B7" s="1">
        <v>2023</v>
      </c>
      <c r="C7" s="1" t="s">
        <v>19</v>
      </c>
      <c r="D7">
        <v>39</v>
      </c>
      <c r="E7">
        <v>1.2</v>
      </c>
      <c r="F7">
        <v>35.9</v>
      </c>
      <c r="G7">
        <v>8.1</v>
      </c>
      <c r="H7">
        <v>0</v>
      </c>
      <c r="I7" t="s">
        <v>20</v>
      </c>
    </row>
    <row r="8" spans="1:9">
      <c r="A8" s="1" t="s">
        <v>13</v>
      </c>
      <c r="B8" s="1">
        <v>2024</v>
      </c>
      <c r="C8" s="1" t="s">
        <v>19</v>
      </c>
      <c r="D8">
        <v>25</v>
      </c>
      <c r="E8">
        <v>1.1599999999999999</v>
      </c>
      <c r="F8">
        <v>32</v>
      </c>
      <c r="G8">
        <v>1.9</v>
      </c>
      <c r="H8">
        <v>4</v>
      </c>
      <c r="I8">
        <v>4</v>
      </c>
    </row>
    <row r="9" spans="1:9">
      <c r="A9" s="1" t="s">
        <v>13</v>
      </c>
      <c r="B9" s="1">
        <v>2025</v>
      </c>
      <c r="C9" s="1" t="s">
        <v>19</v>
      </c>
    </row>
    <row r="10" spans="1:9">
      <c r="A10" s="1" t="s">
        <v>14</v>
      </c>
      <c r="B10" s="1">
        <v>2018</v>
      </c>
      <c r="C10" s="1" t="s">
        <v>19</v>
      </c>
      <c r="D10">
        <v>2</v>
      </c>
      <c r="E10">
        <v>0.39</v>
      </c>
      <c r="F10">
        <v>0</v>
      </c>
      <c r="G10">
        <v>0</v>
      </c>
      <c r="H10">
        <v>0</v>
      </c>
      <c r="I10" t="s">
        <v>20</v>
      </c>
    </row>
    <row r="11" spans="1:9">
      <c r="A11" s="1" t="s">
        <v>14</v>
      </c>
      <c r="B11" s="1">
        <v>2019</v>
      </c>
      <c r="C11" s="1" t="s">
        <v>19</v>
      </c>
      <c r="D11">
        <v>2</v>
      </c>
      <c r="E11">
        <v>0.49</v>
      </c>
      <c r="F11">
        <v>0</v>
      </c>
      <c r="G11">
        <v>0</v>
      </c>
      <c r="H11">
        <v>0</v>
      </c>
      <c r="I11" t="s">
        <v>20</v>
      </c>
    </row>
    <row r="12" spans="1:9">
      <c r="A12" s="1" t="s">
        <v>14</v>
      </c>
      <c r="B12" s="1">
        <v>2020</v>
      </c>
      <c r="C12" s="1" t="s">
        <v>19</v>
      </c>
      <c r="D12">
        <v>3</v>
      </c>
      <c r="E12">
        <v>0.12</v>
      </c>
      <c r="F12">
        <v>0</v>
      </c>
      <c r="G12">
        <v>0</v>
      </c>
      <c r="H12">
        <v>0</v>
      </c>
      <c r="I12" t="s">
        <v>20</v>
      </c>
    </row>
    <row r="13" spans="1:9">
      <c r="A13" s="1" t="s">
        <v>14</v>
      </c>
      <c r="B13" s="1">
        <v>2021</v>
      </c>
      <c r="C13" s="1" t="s">
        <v>19</v>
      </c>
      <c r="D13">
        <v>1</v>
      </c>
      <c r="E13">
        <v>9.4499999999999993</v>
      </c>
      <c r="F13">
        <v>0</v>
      </c>
      <c r="G13">
        <v>0</v>
      </c>
      <c r="H13">
        <v>0</v>
      </c>
      <c r="I13" t="s">
        <v>20</v>
      </c>
    </row>
    <row r="14" spans="1:9">
      <c r="A14" s="1" t="s">
        <v>14</v>
      </c>
      <c r="B14" s="1">
        <v>2022</v>
      </c>
      <c r="C14" s="1" t="s">
        <v>19</v>
      </c>
      <c r="D14">
        <v>1</v>
      </c>
      <c r="E14">
        <v>0.66</v>
      </c>
      <c r="F14">
        <v>100</v>
      </c>
      <c r="G14">
        <v>7</v>
      </c>
      <c r="H14">
        <v>0</v>
      </c>
      <c r="I14" t="s">
        <v>20</v>
      </c>
    </row>
    <row r="15" spans="1:9">
      <c r="A15" s="1" t="s">
        <v>14</v>
      </c>
      <c r="B15" s="1">
        <v>2023</v>
      </c>
      <c r="C15" s="1" t="s">
        <v>19</v>
      </c>
      <c r="D15">
        <v>4</v>
      </c>
      <c r="E15">
        <v>3.22</v>
      </c>
      <c r="F15">
        <v>25</v>
      </c>
      <c r="G15">
        <v>5</v>
      </c>
      <c r="H15">
        <v>0</v>
      </c>
      <c r="I15" t="s">
        <v>20</v>
      </c>
    </row>
    <row r="16" spans="1:9">
      <c r="A16" s="1" t="s">
        <v>14</v>
      </c>
      <c r="B16" s="1">
        <v>2024</v>
      </c>
      <c r="C16" s="1" t="s">
        <v>19</v>
      </c>
      <c r="D16">
        <v>1</v>
      </c>
      <c r="E16">
        <v>5.78</v>
      </c>
      <c r="F16">
        <v>100</v>
      </c>
      <c r="G16">
        <v>4</v>
      </c>
      <c r="H16">
        <v>0</v>
      </c>
      <c r="I16" t="s">
        <v>20</v>
      </c>
    </row>
    <row r="17" spans="1:9">
      <c r="A17" s="1" t="s">
        <v>14</v>
      </c>
      <c r="B17" s="1">
        <v>2025</v>
      </c>
      <c r="C17" s="1" t="s">
        <v>19</v>
      </c>
    </row>
    <row r="18" spans="1:9">
      <c r="A18" s="1" t="s">
        <v>15</v>
      </c>
      <c r="B18" s="1">
        <v>2018</v>
      </c>
      <c r="C18" s="1" t="s">
        <v>19</v>
      </c>
      <c r="D18">
        <v>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</row>
    <row r="19" spans="1:9">
      <c r="A19" s="1" t="s">
        <v>15</v>
      </c>
      <c r="B19" s="1">
        <v>2019</v>
      </c>
      <c r="C19" s="1" t="s">
        <v>19</v>
      </c>
      <c r="D19">
        <v>2</v>
      </c>
      <c r="E19">
        <v>2.25</v>
      </c>
      <c r="F19">
        <v>50</v>
      </c>
      <c r="G19">
        <v>0</v>
      </c>
      <c r="H19">
        <v>0</v>
      </c>
      <c r="I19" t="s">
        <v>20</v>
      </c>
    </row>
    <row r="20" spans="1:9">
      <c r="A20" s="1" t="s">
        <v>15</v>
      </c>
      <c r="B20" s="1">
        <v>2020</v>
      </c>
      <c r="C20" s="1" t="s">
        <v>19</v>
      </c>
      <c r="D20">
        <v>6</v>
      </c>
      <c r="E20">
        <v>5.42</v>
      </c>
      <c r="F20">
        <v>16.7</v>
      </c>
      <c r="G20">
        <v>8</v>
      </c>
      <c r="H20">
        <v>0</v>
      </c>
      <c r="I20" t="s">
        <v>20</v>
      </c>
    </row>
    <row r="21" spans="1:9">
      <c r="A21" s="1" t="s">
        <v>15</v>
      </c>
      <c r="B21" s="1">
        <v>2021</v>
      </c>
      <c r="C21" s="1" t="s">
        <v>19</v>
      </c>
      <c r="D21">
        <v>1</v>
      </c>
      <c r="E21">
        <v>1.1499999999999999</v>
      </c>
      <c r="F21">
        <v>0</v>
      </c>
      <c r="G21">
        <v>0</v>
      </c>
      <c r="H21">
        <v>0</v>
      </c>
      <c r="I21" t="s">
        <v>20</v>
      </c>
    </row>
    <row r="22" spans="1:9">
      <c r="A22" s="1" t="s">
        <v>15</v>
      </c>
      <c r="B22" s="1">
        <v>2022</v>
      </c>
      <c r="C22" s="1" t="s">
        <v>19</v>
      </c>
      <c r="D22">
        <v>4</v>
      </c>
      <c r="E22">
        <v>1.03</v>
      </c>
      <c r="F22">
        <v>25</v>
      </c>
      <c r="G22">
        <v>7</v>
      </c>
      <c r="H22">
        <v>0</v>
      </c>
      <c r="I22" t="s">
        <v>20</v>
      </c>
    </row>
    <row r="23" spans="1:9">
      <c r="A23" s="1" t="s">
        <v>15</v>
      </c>
      <c r="B23" s="1">
        <v>2023</v>
      </c>
      <c r="C23" s="1" t="s">
        <v>19</v>
      </c>
      <c r="D23">
        <v>2</v>
      </c>
      <c r="E23">
        <v>1.41</v>
      </c>
      <c r="F23">
        <v>50</v>
      </c>
      <c r="G23">
        <v>2</v>
      </c>
      <c r="H23">
        <v>0</v>
      </c>
      <c r="I23" t="s">
        <v>20</v>
      </c>
    </row>
    <row r="24" spans="1:9">
      <c r="A24" s="1" t="s">
        <v>15</v>
      </c>
      <c r="B24" s="1">
        <v>2024</v>
      </c>
      <c r="C24" s="1" t="s">
        <v>19</v>
      </c>
      <c r="D24">
        <v>4</v>
      </c>
      <c r="E24">
        <v>0.56000000000000005</v>
      </c>
      <c r="F24">
        <v>50</v>
      </c>
      <c r="G24">
        <v>1.5</v>
      </c>
      <c r="H24">
        <v>0</v>
      </c>
      <c r="I24" t="s">
        <v>20</v>
      </c>
    </row>
    <row r="25" spans="1:9">
      <c r="A25" s="1" t="s">
        <v>15</v>
      </c>
      <c r="B25" s="1">
        <v>2025</v>
      </c>
      <c r="C25" s="1" t="s">
        <v>19</v>
      </c>
    </row>
    <row r="26" spans="1:9">
      <c r="A26" s="1" t="s">
        <v>16</v>
      </c>
      <c r="B26" s="1">
        <v>2018</v>
      </c>
      <c r="C26" s="1" t="s">
        <v>19</v>
      </c>
      <c r="D26">
        <v>7</v>
      </c>
      <c r="E26">
        <v>1.58</v>
      </c>
      <c r="F26">
        <v>14.3</v>
      </c>
      <c r="G26">
        <v>34</v>
      </c>
      <c r="H26">
        <v>0</v>
      </c>
      <c r="I26" t="s">
        <v>20</v>
      </c>
    </row>
    <row r="27" spans="1:9">
      <c r="A27" s="1" t="s">
        <v>16</v>
      </c>
      <c r="B27" s="1">
        <v>2019</v>
      </c>
      <c r="C27" s="1" t="s">
        <v>19</v>
      </c>
      <c r="D27">
        <v>14</v>
      </c>
      <c r="E27">
        <v>2.79</v>
      </c>
      <c r="F27">
        <v>21.4</v>
      </c>
      <c r="G27">
        <v>27</v>
      </c>
      <c r="H27">
        <v>0</v>
      </c>
      <c r="I27" t="s">
        <v>20</v>
      </c>
    </row>
    <row r="28" spans="1:9">
      <c r="A28" s="1" t="s">
        <v>16</v>
      </c>
      <c r="B28" s="1">
        <v>2020</v>
      </c>
      <c r="C28" s="1" t="s">
        <v>19</v>
      </c>
      <c r="D28">
        <v>8</v>
      </c>
      <c r="E28">
        <v>0.13</v>
      </c>
      <c r="F28">
        <v>25</v>
      </c>
      <c r="G28">
        <v>2</v>
      </c>
      <c r="H28">
        <v>0</v>
      </c>
      <c r="I28" t="s">
        <v>20</v>
      </c>
    </row>
    <row r="29" spans="1:9">
      <c r="A29" s="1" t="s">
        <v>16</v>
      </c>
      <c r="B29" s="1">
        <v>2021</v>
      </c>
      <c r="C29" s="1" t="s">
        <v>19</v>
      </c>
      <c r="D29">
        <v>7</v>
      </c>
      <c r="E29">
        <v>1.53</v>
      </c>
      <c r="F29">
        <v>57.1</v>
      </c>
      <c r="G29">
        <v>11.3</v>
      </c>
      <c r="H29">
        <v>14.3</v>
      </c>
      <c r="I29">
        <v>1</v>
      </c>
    </row>
    <row r="30" spans="1:9">
      <c r="A30" s="1" t="s">
        <v>16</v>
      </c>
      <c r="B30" s="1">
        <v>2022</v>
      </c>
      <c r="C30" s="1" t="s">
        <v>19</v>
      </c>
      <c r="D30">
        <v>11</v>
      </c>
      <c r="E30">
        <v>3.67</v>
      </c>
      <c r="F30">
        <v>27.3</v>
      </c>
      <c r="G30">
        <v>1.3</v>
      </c>
      <c r="H30">
        <v>0</v>
      </c>
      <c r="I30" t="s">
        <v>20</v>
      </c>
    </row>
    <row r="31" spans="1:9">
      <c r="A31" s="1" t="s">
        <v>16</v>
      </c>
      <c r="B31" s="1">
        <v>2023</v>
      </c>
      <c r="C31" s="1" t="s">
        <v>19</v>
      </c>
      <c r="D31">
        <v>27</v>
      </c>
      <c r="E31">
        <v>1.6</v>
      </c>
      <c r="F31">
        <v>25.9</v>
      </c>
      <c r="G31">
        <v>10.3</v>
      </c>
      <c r="H31">
        <v>7.4</v>
      </c>
      <c r="I31">
        <v>1.5</v>
      </c>
    </row>
    <row r="32" spans="1:9">
      <c r="A32" s="1" t="s">
        <v>16</v>
      </c>
      <c r="B32" s="1">
        <v>2024</v>
      </c>
      <c r="C32" s="1" t="s">
        <v>19</v>
      </c>
      <c r="D32">
        <v>29</v>
      </c>
      <c r="E32">
        <v>4.1399999999999997</v>
      </c>
      <c r="F32">
        <v>44.8</v>
      </c>
      <c r="G32">
        <v>8.8000000000000007</v>
      </c>
      <c r="H32">
        <v>3.4</v>
      </c>
      <c r="I32">
        <v>6</v>
      </c>
    </row>
    <row r="33" spans="1:9">
      <c r="A33" s="1" t="s">
        <v>16</v>
      </c>
      <c r="B33" s="1">
        <v>2025</v>
      </c>
      <c r="C33" s="1" t="s">
        <v>19</v>
      </c>
    </row>
    <row r="34" spans="1:9">
      <c r="A34" s="1" t="s">
        <v>17</v>
      </c>
      <c r="B34" s="1">
        <v>2018</v>
      </c>
      <c r="C34" s="1" t="s">
        <v>19</v>
      </c>
      <c r="D34">
        <v>9</v>
      </c>
      <c r="E34">
        <v>1.1299999999999999</v>
      </c>
      <c r="F34">
        <v>0</v>
      </c>
      <c r="G34">
        <v>0</v>
      </c>
      <c r="H34">
        <v>0</v>
      </c>
      <c r="I34" t="s">
        <v>20</v>
      </c>
    </row>
    <row r="35" spans="1:9">
      <c r="A35" s="1" t="s">
        <v>17</v>
      </c>
      <c r="B35" s="1">
        <v>2019</v>
      </c>
      <c r="C35" s="1" t="s">
        <v>19</v>
      </c>
      <c r="D35">
        <v>14</v>
      </c>
      <c r="E35">
        <v>0.83</v>
      </c>
      <c r="F35">
        <v>28.6</v>
      </c>
      <c r="G35">
        <v>4.5</v>
      </c>
      <c r="H35">
        <v>0</v>
      </c>
      <c r="I35" t="s">
        <v>20</v>
      </c>
    </row>
    <row r="36" spans="1:9">
      <c r="A36" s="1" t="s">
        <v>17</v>
      </c>
      <c r="B36" s="1">
        <v>2020</v>
      </c>
      <c r="C36" s="1" t="s">
        <v>19</v>
      </c>
      <c r="D36">
        <v>19</v>
      </c>
      <c r="E36">
        <v>1.33</v>
      </c>
      <c r="F36">
        <v>36.799999999999997</v>
      </c>
      <c r="G36">
        <v>22.7</v>
      </c>
      <c r="H36">
        <v>0</v>
      </c>
      <c r="I36" t="s">
        <v>20</v>
      </c>
    </row>
    <row r="37" spans="1:9">
      <c r="A37" s="1" t="s">
        <v>17</v>
      </c>
      <c r="B37" s="1">
        <v>2021</v>
      </c>
      <c r="C37" s="1" t="s">
        <v>19</v>
      </c>
      <c r="D37">
        <v>14</v>
      </c>
      <c r="E37">
        <v>3.15</v>
      </c>
      <c r="F37">
        <v>42.9</v>
      </c>
      <c r="G37">
        <v>52.3</v>
      </c>
      <c r="H37">
        <v>0</v>
      </c>
      <c r="I37" t="s">
        <v>20</v>
      </c>
    </row>
    <row r="38" spans="1:9">
      <c r="A38" s="1" t="s">
        <v>17</v>
      </c>
      <c r="B38" s="1">
        <v>2022</v>
      </c>
      <c r="C38" s="1" t="s">
        <v>19</v>
      </c>
      <c r="D38">
        <v>13</v>
      </c>
      <c r="E38">
        <v>4.2</v>
      </c>
      <c r="F38">
        <v>53.8</v>
      </c>
      <c r="G38">
        <v>17.899999999999999</v>
      </c>
      <c r="H38">
        <v>7.7</v>
      </c>
      <c r="I38">
        <v>73</v>
      </c>
    </row>
    <row r="39" spans="1:9">
      <c r="A39" s="1" t="s">
        <v>17</v>
      </c>
      <c r="B39" s="1">
        <v>2023</v>
      </c>
      <c r="C39" s="1" t="s">
        <v>19</v>
      </c>
      <c r="D39">
        <v>21</v>
      </c>
      <c r="E39">
        <v>1.39</v>
      </c>
      <c r="F39">
        <v>38.1</v>
      </c>
      <c r="G39">
        <v>10.4</v>
      </c>
      <c r="H39">
        <v>0</v>
      </c>
      <c r="I39" t="s">
        <v>20</v>
      </c>
    </row>
    <row r="40" spans="1:9">
      <c r="A40" s="1" t="s">
        <v>17</v>
      </c>
      <c r="B40" s="1">
        <v>2024</v>
      </c>
      <c r="C40" s="1" t="s">
        <v>19</v>
      </c>
      <c r="D40">
        <v>25</v>
      </c>
      <c r="E40">
        <v>2.23</v>
      </c>
      <c r="F40">
        <v>36</v>
      </c>
      <c r="G40">
        <v>6.3</v>
      </c>
      <c r="H40">
        <v>0</v>
      </c>
      <c r="I40" t="s">
        <v>20</v>
      </c>
    </row>
    <row r="41" spans="1:9">
      <c r="A41" s="1" t="s">
        <v>17</v>
      </c>
      <c r="B41" s="1">
        <v>2025</v>
      </c>
      <c r="C41" s="1" t="s">
        <v>19</v>
      </c>
    </row>
    <row r="42" spans="1:9">
      <c r="A42" s="1" t="s">
        <v>61</v>
      </c>
      <c r="B42" s="1">
        <v>2018</v>
      </c>
      <c r="C42" s="1" t="s">
        <v>19</v>
      </c>
      <c r="D42">
        <v>20</v>
      </c>
      <c r="E42">
        <v>1.8</v>
      </c>
      <c r="F42">
        <v>15</v>
      </c>
      <c r="G42">
        <v>20</v>
      </c>
      <c r="H42">
        <v>0</v>
      </c>
      <c r="I42" t="s">
        <v>20</v>
      </c>
    </row>
    <row r="43" spans="1:9">
      <c r="A43" s="1" t="s">
        <v>61</v>
      </c>
      <c r="B43" s="1">
        <v>2019</v>
      </c>
      <c r="C43" s="1" t="s">
        <v>19</v>
      </c>
      <c r="D43">
        <v>20</v>
      </c>
      <c r="E43">
        <v>1.04</v>
      </c>
      <c r="F43">
        <v>25</v>
      </c>
      <c r="G43">
        <v>19</v>
      </c>
      <c r="H43">
        <v>0</v>
      </c>
      <c r="I43" t="s">
        <v>20</v>
      </c>
    </row>
    <row r="44" spans="1:9">
      <c r="A44" s="1" t="s">
        <v>61</v>
      </c>
      <c r="B44" s="1">
        <v>2020</v>
      </c>
      <c r="C44" s="1" t="s">
        <v>19</v>
      </c>
      <c r="D44">
        <v>25</v>
      </c>
      <c r="E44">
        <v>2.3199999999999998</v>
      </c>
      <c r="F44">
        <v>24</v>
      </c>
      <c r="G44">
        <v>25</v>
      </c>
      <c r="H44">
        <v>0</v>
      </c>
      <c r="I44" t="s">
        <v>20</v>
      </c>
    </row>
    <row r="45" spans="1:9">
      <c r="A45" s="1" t="s">
        <v>61</v>
      </c>
      <c r="B45" s="1">
        <v>2021</v>
      </c>
      <c r="C45" s="1" t="s">
        <v>19</v>
      </c>
      <c r="D45">
        <v>33</v>
      </c>
      <c r="E45">
        <v>1.45</v>
      </c>
      <c r="F45">
        <v>18.2</v>
      </c>
      <c r="G45">
        <v>26.2</v>
      </c>
      <c r="H45">
        <v>0</v>
      </c>
      <c r="I45" t="s">
        <v>20</v>
      </c>
    </row>
    <row r="46" spans="1:9">
      <c r="A46" s="1" t="s">
        <v>61</v>
      </c>
      <c r="B46" s="1">
        <v>2022</v>
      </c>
      <c r="C46" s="1" t="s">
        <v>19</v>
      </c>
      <c r="D46">
        <v>46</v>
      </c>
      <c r="E46">
        <v>1.87</v>
      </c>
      <c r="F46">
        <v>21.7</v>
      </c>
      <c r="G46">
        <v>19.7</v>
      </c>
      <c r="H46">
        <v>0</v>
      </c>
      <c r="I46" t="s">
        <v>20</v>
      </c>
    </row>
    <row r="47" spans="1:9">
      <c r="A47" s="1" t="s">
        <v>61</v>
      </c>
      <c r="B47" s="1">
        <v>2023</v>
      </c>
      <c r="C47" s="1" t="s">
        <v>19</v>
      </c>
      <c r="D47">
        <v>47</v>
      </c>
      <c r="E47">
        <v>1.1299999999999999</v>
      </c>
      <c r="F47">
        <v>36.200000000000003</v>
      </c>
      <c r="G47">
        <v>5.3</v>
      </c>
      <c r="H47">
        <v>0</v>
      </c>
      <c r="I47" t="s">
        <v>20</v>
      </c>
    </row>
    <row r="48" spans="1:9">
      <c r="A48" s="1" t="s">
        <v>61</v>
      </c>
      <c r="B48" s="1">
        <v>2024</v>
      </c>
      <c r="C48" s="1" t="s">
        <v>19</v>
      </c>
      <c r="D48">
        <v>43</v>
      </c>
      <c r="E48">
        <v>2.0499999999999998</v>
      </c>
      <c r="F48">
        <v>32.6</v>
      </c>
      <c r="G48">
        <v>3</v>
      </c>
      <c r="H48">
        <v>0</v>
      </c>
      <c r="I48" t="s">
        <v>20</v>
      </c>
    </row>
    <row r="49" spans="1:3">
      <c r="A49" s="1" t="s">
        <v>61</v>
      </c>
      <c r="B49" s="1">
        <v>2025</v>
      </c>
      <c r="C49" s="1" t="s">
        <v>19</v>
      </c>
    </row>
    <row r="50" spans="1:3">
      <c r="A50" s="1" t="s">
        <v>13</v>
      </c>
      <c r="B50" s="1">
        <v>2018</v>
      </c>
      <c r="C50" s="1" t="s">
        <v>80</v>
      </c>
    </row>
    <row r="51" spans="1:3">
      <c r="A51" s="1" t="s">
        <v>13</v>
      </c>
      <c r="B51" s="1">
        <v>2019</v>
      </c>
      <c r="C51" s="1" t="s">
        <v>80</v>
      </c>
    </row>
    <row r="52" spans="1:3">
      <c r="A52" s="1" t="s">
        <v>13</v>
      </c>
      <c r="B52" s="1">
        <v>2020</v>
      </c>
      <c r="C52" s="1" t="s">
        <v>80</v>
      </c>
    </row>
    <row r="53" spans="1:3">
      <c r="A53" s="1" t="s">
        <v>13</v>
      </c>
      <c r="B53" s="1">
        <v>2021</v>
      </c>
      <c r="C53" s="1" t="s">
        <v>80</v>
      </c>
    </row>
    <row r="54" spans="1:3">
      <c r="A54" s="1" t="s">
        <v>13</v>
      </c>
      <c r="B54" s="1">
        <v>2022</v>
      </c>
      <c r="C54" s="1" t="s">
        <v>80</v>
      </c>
    </row>
    <row r="55" spans="1:3">
      <c r="A55" s="1" t="s">
        <v>13</v>
      </c>
      <c r="B55" s="1">
        <v>2023</v>
      </c>
      <c r="C55" s="1" t="s">
        <v>80</v>
      </c>
    </row>
    <row r="56" spans="1:3">
      <c r="A56" s="1" t="s">
        <v>13</v>
      </c>
      <c r="B56" s="1">
        <v>2024</v>
      </c>
      <c r="C56" s="1" t="s">
        <v>80</v>
      </c>
    </row>
    <row r="57" spans="1:3">
      <c r="A57" s="1" t="s">
        <v>13</v>
      </c>
      <c r="B57" s="1">
        <v>2025</v>
      </c>
      <c r="C57" s="1" t="s">
        <v>80</v>
      </c>
    </row>
    <row r="58" spans="1:3">
      <c r="A58" s="1" t="s">
        <v>14</v>
      </c>
      <c r="B58" s="1">
        <v>2018</v>
      </c>
      <c r="C58" s="1" t="s">
        <v>80</v>
      </c>
    </row>
    <row r="59" spans="1:3">
      <c r="A59" s="1" t="s">
        <v>14</v>
      </c>
      <c r="B59" s="1">
        <v>2019</v>
      </c>
      <c r="C59" s="1" t="s">
        <v>80</v>
      </c>
    </row>
    <row r="60" spans="1:3">
      <c r="A60" s="1" t="s">
        <v>14</v>
      </c>
      <c r="B60" s="1">
        <v>2020</v>
      </c>
      <c r="C60" s="1" t="s">
        <v>80</v>
      </c>
    </row>
    <row r="61" spans="1:3">
      <c r="A61" s="1" t="s">
        <v>14</v>
      </c>
      <c r="B61" s="1">
        <v>2021</v>
      </c>
      <c r="C61" s="1" t="s">
        <v>80</v>
      </c>
    </row>
    <row r="62" spans="1:3">
      <c r="A62" s="1" t="s">
        <v>14</v>
      </c>
      <c r="B62" s="1">
        <v>2022</v>
      </c>
      <c r="C62" s="1" t="s">
        <v>80</v>
      </c>
    </row>
    <row r="63" spans="1:3">
      <c r="A63" s="1" t="s">
        <v>14</v>
      </c>
      <c r="B63" s="1">
        <v>2023</v>
      </c>
      <c r="C63" s="1" t="s">
        <v>80</v>
      </c>
    </row>
    <row r="64" spans="1:3">
      <c r="A64" s="1" t="s">
        <v>14</v>
      </c>
      <c r="B64" s="1">
        <v>2024</v>
      </c>
      <c r="C64" s="1" t="s">
        <v>80</v>
      </c>
    </row>
    <row r="65" spans="1:3">
      <c r="A65" s="1" t="s">
        <v>14</v>
      </c>
      <c r="B65" s="1">
        <v>2025</v>
      </c>
      <c r="C65" s="1" t="s">
        <v>80</v>
      </c>
    </row>
    <row r="66" spans="1:3">
      <c r="A66" s="1" t="s">
        <v>15</v>
      </c>
      <c r="B66" s="1">
        <v>2018</v>
      </c>
      <c r="C66" s="1" t="s">
        <v>80</v>
      </c>
    </row>
    <row r="67" spans="1:3">
      <c r="A67" s="1" t="s">
        <v>15</v>
      </c>
      <c r="B67" s="1">
        <v>2019</v>
      </c>
      <c r="C67" s="1" t="s">
        <v>80</v>
      </c>
    </row>
    <row r="68" spans="1:3">
      <c r="A68" s="1" t="s">
        <v>15</v>
      </c>
      <c r="B68" s="1">
        <v>2020</v>
      </c>
      <c r="C68" s="1" t="s">
        <v>80</v>
      </c>
    </row>
    <row r="69" spans="1:3">
      <c r="A69" s="1" t="s">
        <v>15</v>
      </c>
      <c r="B69" s="1">
        <v>2021</v>
      </c>
      <c r="C69" s="1" t="s">
        <v>80</v>
      </c>
    </row>
    <row r="70" spans="1:3">
      <c r="A70" s="1" t="s">
        <v>15</v>
      </c>
      <c r="B70" s="1">
        <v>2022</v>
      </c>
      <c r="C70" s="1" t="s">
        <v>80</v>
      </c>
    </row>
    <row r="71" spans="1:3">
      <c r="A71" s="1" t="s">
        <v>15</v>
      </c>
      <c r="B71" s="1">
        <v>2023</v>
      </c>
      <c r="C71" s="1" t="s">
        <v>80</v>
      </c>
    </row>
    <row r="72" spans="1:3">
      <c r="A72" s="1" t="s">
        <v>15</v>
      </c>
      <c r="B72" s="1">
        <v>2024</v>
      </c>
      <c r="C72" s="1" t="s">
        <v>80</v>
      </c>
    </row>
    <row r="73" spans="1:3">
      <c r="A73" s="1" t="s">
        <v>15</v>
      </c>
      <c r="B73" s="1">
        <v>2025</v>
      </c>
      <c r="C73" s="1" t="s">
        <v>80</v>
      </c>
    </row>
    <row r="74" spans="1:3">
      <c r="A74" s="1" t="s">
        <v>16</v>
      </c>
      <c r="B74" s="1">
        <v>2018</v>
      </c>
      <c r="C74" s="1" t="s">
        <v>80</v>
      </c>
    </row>
    <row r="75" spans="1:3">
      <c r="A75" s="1" t="s">
        <v>16</v>
      </c>
      <c r="B75" s="1">
        <v>2019</v>
      </c>
      <c r="C75" s="1" t="s">
        <v>80</v>
      </c>
    </row>
    <row r="76" spans="1:3">
      <c r="A76" s="1" t="s">
        <v>16</v>
      </c>
      <c r="B76" s="1">
        <v>2020</v>
      </c>
      <c r="C76" s="1" t="s">
        <v>80</v>
      </c>
    </row>
    <row r="77" spans="1:3">
      <c r="A77" s="1" t="s">
        <v>16</v>
      </c>
      <c r="B77" s="1">
        <v>2021</v>
      </c>
      <c r="C77" s="1" t="s">
        <v>80</v>
      </c>
    </row>
    <row r="78" spans="1:3">
      <c r="A78" s="1" t="s">
        <v>16</v>
      </c>
      <c r="B78" s="1">
        <v>2022</v>
      </c>
      <c r="C78" s="1" t="s">
        <v>80</v>
      </c>
    </row>
    <row r="79" spans="1:3">
      <c r="A79" s="1" t="s">
        <v>16</v>
      </c>
      <c r="B79" s="1">
        <v>2023</v>
      </c>
      <c r="C79" s="1" t="s">
        <v>80</v>
      </c>
    </row>
    <row r="80" spans="1:3">
      <c r="A80" s="1" t="s">
        <v>16</v>
      </c>
      <c r="B80" s="1">
        <v>2024</v>
      </c>
      <c r="C80" s="1" t="s">
        <v>80</v>
      </c>
    </row>
    <row r="81" spans="1:3">
      <c r="A81" s="1" t="s">
        <v>16</v>
      </c>
      <c r="B81" s="1">
        <v>2025</v>
      </c>
      <c r="C81" s="1" t="s">
        <v>80</v>
      </c>
    </row>
    <row r="82" spans="1:3">
      <c r="A82" s="1" t="s">
        <v>17</v>
      </c>
      <c r="B82" s="1">
        <v>2018</v>
      </c>
      <c r="C82" s="1" t="s">
        <v>80</v>
      </c>
    </row>
    <row r="83" spans="1:3">
      <c r="A83" s="1" t="s">
        <v>17</v>
      </c>
      <c r="B83" s="1">
        <v>2019</v>
      </c>
      <c r="C83" s="1" t="s">
        <v>80</v>
      </c>
    </row>
    <row r="84" spans="1:3">
      <c r="A84" s="1" t="s">
        <v>17</v>
      </c>
      <c r="B84" s="1">
        <v>2020</v>
      </c>
      <c r="C84" s="1" t="s">
        <v>80</v>
      </c>
    </row>
    <row r="85" spans="1:3">
      <c r="A85" s="1" t="s">
        <v>17</v>
      </c>
      <c r="B85" s="1">
        <v>2021</v>
      </c>
      <c r="C85" s="1" t="s">
        <v>80</v>
      </c>
    </row>
    <row r="86" spans="1:3">
      <c r="A86" s="1" t="s">
        <v>17</v>
      </c>
      <c r="B86" s="1">
        <v>2022</v>
      </c>
      <c r="C86" s="1" t="s">
        <v>80</v>
      </c>
    </row>
    <row r="87" spans="1:3">
      <c r="A87" s="1" t="s">
        <v>17</v>
      </c>
      <c r="B87" s="1">
        <v>2023</v>
      </c>
      <c r="C87" s="1" t="s">
        <v>80</v>
      </c>
    </row>
    <row r="88" spans="1:3">
      <c r="A88" s="1" t="s">
        <v>17</v>
      </c>
      <c r="B88" s="1">
        <v>2024</v>
      </c>
      <c r="C88" s="1" t="s">
        <v>80</v>
      </c>
    </row>
    <row r="89" spans="1:3">
      <c r="A89" s="1" t="s">
        <v>17</v>
      </c>
      <c r="B89" s="1">
        <v>2025</v>
      </c>
      <c r="C89" s="1" t="s">
        <v>80</v>
      </c>
    </row>
    <row r="90" spans="1:3">
      <c r="A90" s="1" t="s">
        <v>61</v>
      </c>
      <c r="B90" s="1">
        <v>2018</v>
      </c>
      <c r="C90" s="1" t="s">
        <v>80</v>
      </c>
    </row>
    <row r="91" spans="1:3">
      <c r="A91" s="1" t="s">
        <v>61</v>
      </c>
      <c r="B91" s="1">
        <v>2019</v>
      </c>
      <c r="C91" s="1" t="s">
        <v>80</v>
      </c>
    </row>
    <row r="92" spans="1:3">
      <c r="A92" s="1" t="s">
        <v>61</v>
      </c>
      <c r="B92" s="1">
        <v>2020</v>
      </c>
      <c r="C92" s="1" t="s">
        <v>80</v>
      </c>
    </row>
    <row r="93" spans="1:3">
      <c r="A93" s="1" t="s">
        <v>61</v>
      </c>
      <c r="B93" s="1">
        <v>2021</v>
      </c>
      <c r="C93" s="1" t="s">
        <v>80</v>
      </c>
    </row>
    <row r="94" spans="1:3">
      <c r="A94" s="1" t="s">
        <v>61</v>
      </c>
      <c r="B94" s="1">
        <v>2022</v>
      </c>
      <c r="C94" s="1" t="s">
        <v>80</v>
      </c>
    </row>
    <row r="95" spans="1:3">
      <c r="A95" s="1" t="s">
        <v>61</v>
      </c>
      <c r="B95" s="1">
        <v>2023</v>
      </c>
      <c r="C95" s="1" t="s">
        <v>80</v>
      </c>
    </row>
    <row r="96" spans="1:3">
      <c r="A96" s="1" t="s">
        <v>61</v>
      </c>
      <c r="B96" s="1">
        <v>2024</v>
      </c>
      <c r="C96" s="1" t="s">
        <v>80</v>
      </c>
    </row>
    <row r="97" spans="1:9">
      <c r="A97" s="1" t="s">
        <v>61</v>
      </c>
      <c r="B97" s="1">
        <v>2025</v>
      </c>
      <c r="C97" s="1" t="s">
        <v>80</v>
      </c>
    </row>
    <row r="98" spans="1:9">
      <c r="A98" s="1" t="s">
        <v>13</v>
      </c>
      <c r="B98" s="1">
        <v>2018</v>
      </c>
      <c r="C98" s="1" t="s">
        <v>85</v>
      </c>
      <c r="D98">
        <v>878</v>
      </c>
      <c r="E98">
        <v>0.95</v>
      </c>
      <c r="F98">
        <v>32.6</v>
      </c>
      <c r="G98">
        <v>33.299999999999997</v>
      </c>
      <c r="H98">
        <v>3.2</v>
      </c>
      <c r="I98">
        <v>13.9</v>
      </c>
    </row>
    <row r="99" spans="1:9">
      <c r="A99" s="1" t="s">
        <v>13</v>
      </c>
      <c r="B99" s="1">
        <v>2019</v>
      </c>
      <c r="C99" s="1" t="s">
        <v>85</v>
      </c>
      <c r="D99">
        <v>898</v>
      </c>
      <c r="E99">
        <v>1.0900000000000001</v>
      </c>
      <c r="F99">
        <v>35.5</v>
      </c>
      <c r="G99">
        <v>37.799999999999997</v>
      </c>
      <c r="H99">
        <v>3.3</v>
      </c>
      <c r="I99">
        <v>11.8</v>
      </c>
    </row>
    <row r="100" spans="1:9">
      <c r="A100" s="1" t="s">
        <v>13</v>
      </c>
      <c r="B100" s="1">
        <v>2020</v>
      </c>
      <c r="C100" s="1" t="s">
        <v>85</v>
      </c>
      <c r="D100">
        <v>979</v>
      </c>
      <c r="E100">
        <v>1.01</v>
      </c>
      <c r="F100">
        <v>36.9</v>
      </c>
      <c r="G100">
        <v>30.9</v>
      </c>
      <c r="H100">
        <v>3.5</v>
      </c>
      <c r="I100">
        <v>19.8</v>
      </c>
    </row>
    <row r="101" spans="1:9">
      <c r="A101" s="1" t="s">
        <v>13</v>
      </c>
      <c r="B101" s="1">
        <v>2021</v>
      </c>
      <c r="C101" s="1" t="s">
        <v>85</v>
      </c>
      <c r="D101">
        <v>1005</v>
      </c>
      <c r="E101">
        <v>0.93</v>
      </c>
      <c r="F101">
        <v>38.6</v>
      </c>
      <c r="G101">
        <v>21.1</v>
      </c>
      <c r="H101">
        <v>3.1</v>
      </c>
      <c r="I101">
        <v>10.1</v>
      </c>
    </row>
    <row r="102" spans="1:9">
      <c r="A102" s="1" t="s">
        <v>13</v>
      </c>
      <c r="B102" s="1">
        <v>2022</v>
      </c>
      <c r="C102" s="1" t="s">
        <v>85</v>
      </c>
      <c r="D102">
        <v>1095</v>
      </c>
      <c r="E102">
        <v>1</v>
      </c>
      <c r="F102">
        <v>42.5</v>
      </c>
      <c r="G102">
        <v>17</v>
      </c>
      <c r="H102">
        <v>5.6</v>
      </c>
      <c r="I102">
        <v>10.9</v>
      </c>
    </row>
    <row r="103" spans="1:9">
      <c r="A103" s="1" t="s">
        <v>13</v>
      </c>
      <c r="B103" s="1">
        <v>2023</v>
      </c>
      <c r="C103" s="1" t="s">
        <v>85</v>
      </c>
      <c r="D103">
        <v>1068</v>
      </c>
      <c r="E103">
        <v>1.01</v>
      </c>
      <c r="F103">
        <v>41.4</v>
      </c>
      <c r="G103">
        <v>12.7</v>
      </c>
      <c r="H103">
        <v>2.6</v>
      </c>
      <c r="I103">
        <v>7.2</v>
      </c>
    </row>
    <row r="104" spans="1:9">
      <c r="A104" s="1" t="s">
        <v>13</v>
      </c>
      <c r="B104" s="1">
        <v>2024</v>
      </c>
      <c r="C104" s="1" t="s">
        <v>85</v>
      </c>
      <c r="D104">
        <v>1119</v>
      </c>
      <c r="E104">
        <v>1.05</v>
      </c>
      <c r="F104">
        <v>45.6</v>
      </c>
      <c r="G104">
        <v>6.8</v>
      </c>
      <c r="H104">
        <v>2.5</v>
      </c>
      <c r="I104">
        <v>6.9</v>
      </c>
    </row>
    <row r="105" spans="1:9">
      <c r="A105" s="1" t="s">
        <v>13</v>
      </c>
      <c r="B105" s="1">
        <v>2025</v>
      </c>
      <c r="C105" s="1" t="s">
        <v>85</v>
      </c>
    </row>
    <row r="106" spans="1:9">
      <c r="A106" s="1" t="s">
        <v>14</v>
      </c>
      <c r="B106" s="1">
        <v>2018</v>
      </c>
      <c r="C106" s="1" t="s">
        <v>85</v>
      </c>
      <c r="D106">
        <v>204</v>
      </c>
      <c r="E106">
        <v>0.54</v>
      </c>
      <c r="F106">
        <v>10.3</v>
      </c>
      <c r="G106">
        <v>7.3</v>
      </c>
      <c r="H106">
        <v>0</v>
      </c>
      <c r="I106" t="s">
        <v>20</v>
      </c>
    </row>
    <row r="107" spans="1:9">
      <c r="A107" s="1" t="s">
        <v>14</v>
      </c>
      <c r="B107" s="1">
        <v>2019</v>
      </c>
      <c r="C107" s="1" t="s">
        <v>85</v>
      </c>
      <c r="D107">
        <v>178</v>
      </c>
      <c r="E107">
        <v>0.47</v>
      </c>
      <c r="F107">
        <v>15.2</v>
      </c>
      <c r="G107">
        <v>11.7</v>
      </c>
      <c r="H107">
        <v>1.1000000000000001</v>
      </c>
      <c r="I107">
        <v>1</v>
      </c>
    </row>
    <row r="108" spans="1:9">
      <c r="A108" s="1" t="s">
        <v>14</v>
      </c>
      <c r="B108" s="1">
        <v>2020</v>
      </c>
      <c r="C108" s="1" t="s">
        <v>85</v>
      </c>
      <c r="D108">
        <v>201</v>
      </c>
      <c r="E108">
        <v>0.55000000000000004</v>
      </c>
      <c r="F108">
        <v>19.399999999999999</v>
      </c>
      <c r="G108">
        <v>20.5</v>
      </c>
      <c r="H108">
        <v>0</v>
      </c>
      <c r="I108" t="s">
        <v>20</v>
      </c>
    </row>
    <row r="109" spans="1:9">
      <c r="A109" s="1" t="s">
        <v>14</v>
      </c>
      <c r="B109" s="1">
        <v>2021</v>
      </c>
      <c r="C109" s="1" t="s">
        <v>85</v>
      </c>
      <c r="D109">
        <v>191</v>
      </c>
      <c r="E109">
        <v>0.79</v>
      </c>
      <c r="F109">
        <v>14.1</v>
      </c>
      <c r="G109">
        <v>39.1</v>
      </c>
      <c r="H109">
        <v>1.6</v>
      </c>
      <c r="I109">
        <v>115.3</v>
      </c>
    </row>
    <row r="110" spans="1:9">
      <c r="A110" s="1" t="s">
        <v>14</v>
      </c>
      <c r="B110" s="1">
        <v>2022</v>
      </c>
      <c r="C110" s="1" t="s">
        <v>85</v>
      </c>
      <c r="D110">
        <v>230</v>
      </c>
      <c r="E110">
        <v>0.62</v>
      </c>
      <c r="F110">
        <v>17.8</v>
      </c>
      <c r="G110">
        <v>9</v>
      </c>
      <c r="H110">
        <v>1.3</v>
      </c>
      <c r="I110">
        <v>14.7</v>
      </c>
    </row>
    <row r="111" spans="1:9">
      <c r="A111" s="1" t="s">
        <v>14</v>
      </c>
      <c r="B111" s="1">
        <v>2023</v>
      </c>
      <c r="C111" s="1" t="s">
        <v>85</v>
      </c>
      <c r="D111">
        <v>250</v>
      </c>
      <c r="E111">
        <v>0.45</v>
      </c>
      <c r="F111">
        <v>12.8</v>
      </c>
      <c r="G111">
        <v>5.7</v>
      </c>
      <c r="H111">
        <v>4</v>
      </c>
      <c r="I111">
        <v>3.7</v>
      </c>
    </row>
    <row r="112" spans="1:9">
      <c r="A112" s="1" t="s">
        <v>14</v>
      </c>
      <c r="B112" s="1">
        <v>2024</v>
      </c>
      <c r="C112" s="1" t="s">
        <v>85</v>
      </c>
      <c r="D112">
        <v>241</v>
      </c>
      <c r="E112">
        <v>0.61</v>
      </c>
      <c r="F112">
        <v>16.600000000000001</v>
      </c>
      <c r="G112">
        <v>1.5</v>
      </c>
      <c r="H112">
        <v>3.7</v>
      </c>
      <c r="I112">
        <v>2.2999999999999998</v>
      </c>
    </row>
    <row r="113" spans="1:9">
      <c r="A113" s="1" t="s">
        <v>14</v>
      </c>
      <c r="B113" s="1">
        <v>2025</v>
      </c>
      <c r="C113" s="1" t="s">
        <v>85</v>
      </c>
    </row>
    <row r="114" spans="1:9">
      <c r="A114" s="1" t="s">
        <v>15</v>
      </c>
      <c r="B114" s="1">
        <v>2018</v>
      </c>
      <c r="C114" s="1" t="s">
        <v>85</v>
      </c>
      <c r="D114">
        <v>92</v>
      </c>
      <c r="E114">
        <v>0.8</v>
      </c>
      <c r="F114">
        <v>15.2</v>
      </c>
      <c r="G114">
        <v>21.5</v>
      </c>
      <c r="H114">
        <v>0</v>
      </c>
      <c r="I114" t="s">
        <v>20</v>
      </c>
    </row>
    <row r="115" spans="1:9">
      <c r="A115" s="1" t="s">
        <v>15</v>
      </c>
      <c r="B115" s="1">
        <v>2019</v>
      </c>
      <c r="C115" s="1" t="s">
        <v>85</v>
      </c>
      <c r="D115">
        <v>104</v>
      </c>
      <c r="E115">
        <v>0.79</v>
      </c>
      <c r="F115">
        <v>26.9</v>
      </c>
      <c r="G115">
        <v>20.6</v>
      </c>
      <c r="H115">
        <v>1</v>
      </c>
      <c r="I115" t="s">
        <v>20</v>
      </c>
    </row>
    <row r="116" spans="1:9">
      <c r="A116" s="1" t="s">
        <v>15</v>
      </c>
      <c r="B116" s="1">
        <v>2020</v>
      </c>
      <c r="C116" s="1" t="s">
        <v>85</v>
      </c>
      <c r="D116">
        <v>115</v>
      </c>
      <c r="E116">
        <v>0.88</v>
      </c>
      <c r="F116">
        <v>27.8</v>
      </c>
      <c r="G116">
        <v>19.3</v>
      </c>
      <c r="H116">
        <v>0</v>
      </c>
      <c r="I116" t="s">
        <v>20</v>
      </c>
    </row>
    <row r="117" spans="1:9">
      <c r="A117" s="1" t="s">
        <v>15</v>
      </c>
      <c r="B117" s="1">
        <v>2021</v>
      </c>
      <c r="C117" s="1" t="s">
        <v>85</v>
      </c>
      <c r="D117">
        <v>151</v>
      </c>
      <c r="E117">
        <v>0.65</v>
      </c>
      <c r="F117">
        <v>34.4</v>
      </c>
      <c r="G117">
        <v>16.3</v>
      </c>
      <c r="H117">
        <v>2.6</v>
      </c>
      <c r="I117">
        <v>5.3</v>
      </c>
    </row>
    <row r="118" spans="1:9">
      <c r="A118" s="1" t="s">
        <v>15</v>
      </c>
      <c r="B118" s="1">
        <v>2022</v>
      </c>
      <c r="C118" s="1" t="s">
        <v>85</v>
      </c>
      <c r="D118">
        <v>142</v>
      </c>
      <c r="E118">
        <v>0.75</v>
      </c>
      <c r="F118">
        <v>36.6</v>
      </c>
      <c r="G118">
        <v>12</v>
      </c>
      <c r="H118">
        <v>1.4</v>
      </c>
      <c r="I118">
        <v>3.5</v>
      </c>
    </row>
    <row r="119" spans="1:9">
      <c r="A119" s="1" t="s">
        <v>15</v>
      </c>
      <c r="B119" s="1">
        <v>2023</v>
      </c>
      <c r="C119" s="1" t="s">
        <v>85</v>
      </c>
      <c r="D119">
        <v>152</v>
      </c>
      <c r="E119">
        <v>0.64</v>
      </c>
      <c r="F119">
        <v>29.6</v>
      </c>
      <c r="G119">
        <v>10.1</v>
      </c>
      <c r="H119">
        <v>0.7</v>
      </c>
      <c r="I119">
        <v>5</v>
      </c>
    </row>
    <row r="120" spans="1:9">
      <c r="A120" s="1" t="s">
        <v>15</v>
      </c>
      <c r="B120" s="1">
        <v>2024</v>
      </c>
      <c r="C120" s="1" t="s">
        <v>85</v>
      </c>
      <c r="D120">
        <v>134</v>
      </c>
      <c r="E120">
        <v>0.63</v>
      </c>
      <c r="F120">
        <v>35.1</v>
      </c>
      <c r="G120">
        <v>3</v>
      </c>
      <c r="H120">
        <v>0.7</v>
      </c>
      <c r="I120" t="s">
        <v>20</v>
      </c>
    </row>
    <row r="121" spans="1:9">
      <c r="A121" s="1" t="s">
        <v>15</v>
      </c>
      <c r="B121" s="1">
        <v>2025</v>
      </c>
      <c r="C121" s="1" t="s">
        <v>85</v>
      </c>
    </row>
    <row r="122" spans="1:9">
      <c r="A122" s="1" t="s">
        <v>16</v>
      </c>
      <c r="B122" s="1">
        <v>2018</v>
      </c>
      <c r="C122" s="1" t="s">
        <v>85</v>
      </c>
      <c r="D122">
        <v>417</v>
      </c>
      <c r="E122">
        <v>0.67</v>
      </c>
      <c r="F122">
        <v>23</v>
      </c>
      <c r="G122">
        <v>19.100000000000001</v>
      </c>
      <c r="H122">
        <v>1.9</v>
      </c>
      <c r="I122">
        <v>12.5</v>
      </c>
    </row>
    <row r="123" spans="1:9">
      <c r="A123" s="1" t="s">
        <v>16</v>
      </c>
      <c r="B123" s="1">
        <v>2019</v>
      </c>
      <c r="C123" s="1" t="s">
        <v>85</v>
      </c>
      <c r="D123">
        <v>442</v>
      </c>
      <c r="E123">
        <v>0.76</v>
      </c>
      <c r="F123">
        <v>25.6</v>
      </c>
      <c r="G123">
        <v>22.7</v>
      </c>
      <c r="H123">
        <v>1.6</v>
      </c>
      <c r="I123">
        <v>11.3</v>
      </c>
    </row>
    <row r="124" spans="1:9">
      <c r="A124" s="1" t="s">
        <v>16</v>
      </c>
      <c r="B124" s="1">
        <v>2020</v>
      </c>
      <c r="C124" s="1" t="s">
        <v>85</v>
      </c>
      <c r="D124">
        <v>502</v>
      </c>
      <c r="E124">
        <v>0.89</v>
      </c>
      <c r="F124">
        <v>33.299999999999997</v>
      </c>
      <c r="G124">
        <v>26.1</v>
      </c>
      <c r="H124">
        <v>2</v>
      </c>
      <c r="I124">
        <v>32.1</v>
      </c>
    </row>
    <row r="125" spans="1:9">
      <c r="A125" s="1" t="s">
        <v>16</v>
      </c>
      <c r="B125" s="1">
        <v>2021</v>
      </c>
      <c r="C125" s="1" t="s">
        <v>85</v>
      </c>
      <c r="D125">
        <v>615</v>
      </c>
      <c r="E125">
        <v>0.96</v>
      </c>
      <c r="F125">
        <v>32.5</v>
      </c>
      <c r="G125">
        <v>26.7</v>
      </c>
      <c r="H125">
        <v>2.4</v>
      </c>
      <c r="I125">
        <v>13.3</v>
      </c>
    </row>
    <row r="126" spans="1:9">
      <c r="A126" s="1" t="s">
        <v>16</v>
      </c>
      <c r="B126" s="1">
        <v>2022</v>
      </c>
      <c r="C126" s="1" t="s">
        <v>85</v>
      </c>
      <c r="D126">
        <v>722</v>
      </c>
      <c r="E126">
        <v>0.99</v>
      </c>
      <c r="F126">
        <v>39.1</v>
      </c>
      <c r="G126">
        <v>23.4</v>
      </c>
      <c r="H126">
        <v>2.5</v>
      </c>
      <c r="I126">
        <v>13.3</v>
      </c>
    </row>
    <row r="127" spans="1:9">
      <c r="A127" s="1" t="s">
        <v>16</v>
      </c>
      <c r="B127" s="1">
        <v>2023</v>
      </c>
      <c r="C127" s="1" t="s">
        <v>85</v>
      </c>
      <c r="D127">
        <v>640</v>
      </c>
      <c r="E127">
        <v>1.07</v>
      </c>
      <c r="F127">
        <v>37.700000000000003</v>
      </c>
      <c r="G127">
        <v>15.6</v>
      </c>
      <c r="H127">
        <v>3</v>
      </c>
      <c r="I127">
        <v>7.4</v>
      </c>
    </row>
    <row r="128" spans="1:9">
      <c r="A128" s="1" t="s">
        <v>16</v>
      </c>
      <c r="B128" s="1">
        <v>2024</v>
      </c>
      <c r="C128" s="1" t="s">
        <v>85</v>
      </c>
      <c r="D128">
        <v>636</v>
      </c>
      <c r="E128">
        <v>0.92</v>
      </c>
      <c r="F128">
        <v>38.5</v>
      </c>
      <c r="G128">
        <v>4.5999999999999996</v>
      </c>
      <c r="H128">
        <v>2.4</v>
      </c>
      <c r="I128">
        <v>3</v>
      </c>
    </row>
    <row r="129" spans="1:9">
      <c r="A129" s="1" t="s">
        <v>16</v>
      </c>
      <c r="B129" s="1">
        <v>2025</v>
      </c>
      <c r="C129" s="1" t="s">
        <v>85</v>
      </c>
    </row>
    <row r="130" spans="1:9">
      <c r="A130" s="1" t="s">
        <v>17</v>
      </c>
      <c r="B130" s="1">
        <v>2018</v>
      </c>
      <c r="C130" s="1" t="s">
        <v>85</v>
      </c>
      <c r="D130">
        <v>293</v>
      </c>
      <c r="E130">
        <v>0.64</v>
      </c>
      <c r="F130">
        <v>20.100000000000001</v>
      </c>
      <c r="G130">
        <v>28.2</v>
      </c>
      <c r="H130">
        <v>4.8</v>
      </c>
      <c r="I130">
        <v>6.7</v>
      </c>
    </row>
    <row r="131" spans="1:9">
      <c r="A131" s="1" t="s">
        <v>17</v>
      </c>
      <c r="B131" s="1">
        <v>2019</v>
      </c>
      <c r="C131" s="1" t="s">
        <v>85</v>
      </c>
      <c r="D131">
        <v>327</v>
      </c>
      <c r="E131">
        <v>0.85</v>
      </c>
      <c r="F131">
        <v>31.2</v>
      </c>
      <c r="G131">
        <v>31.8</v>
      </c>
      <c r="H131">
        <v>2.1</v>
      </c>
      <c r="I131">
        <v>15</v>
      </c>
    </row>
    <row r="132" spans="1:9">
      <c r="A132" s="1" t="s">
        <v>17</v>
      </c>
      <c r="B132" s="1">
        <v>2020</v>
      </c>
      <c r="C132" s="1" t="s">
        <v>85</v>
      </c>
      <c r="D132">
        <v>450</v>
      </c>
      <c r="E132">
        <v>1.1100000000000001</v>
      </c>
      <c r="F132">
        <v>43.8</v>
      </c>
      <c r="G132">
        <v>36.700000000000003</v>
      </c>
      <c r="H132">
        <v>0.9</v>
      </c>
      <c r="I132">
        <v>0.3</v>
      </c>
    </row>
    <row r="133" spans="1:9">
      <c r="A133" s="1" t="s">
        <v>17</v>
      </c>
      <c r="B133" s="1">
        <v>2021</v>
      </c>
      <c r="C133" s="1" t="s">
        <v>85</v>
      </c>
      <c r="D133">
        <v>597</v>
      </c>
      <c r="E133">
        <v>1.27</v>
      </c>
      <c r="F133">
        <v>49.2</v>
      </c>
      <c r="G133">
        <v>31.6</v>
      </c>
      <c r="H133">
        <v>1.8</v>
      </c>
      <c r="I133">
        <v>16.600000000000001</v>
      </c>
    </row>
    <row r="134" spans="1:9">
      <c r="A134" s="1" t="s">
        <v>17</v>
      </c>
      <c r="B134" s="1">
        <v>2022</v>
      </c>
      <c r="C134" s="1" t="s">
        <v>85</v>
      </c>
      <c r="D134">
        <v>634</v>
      </c>
      <c r="E134">
        <v>1.46</v>
      </c>
      <c r="F134">
        <v>60.1</v>
      </c>
      <c r="G134">
        <v>24.8</v>
      </c>
      <c r="H134">
        <v>2.7</v>
      </c>
      <c r="I134">
        <v>12.8</v>
      </c>
    </row>
    <row r="135" spans="1:9">
      <c r="A135" s="1" t="s">
        <v>17</v>
      </c>
      <c r="B135" s="1">
        <v>2023</v>
      </c>
      <c r="C135" s="1" t="s">
        <v>85</v>
      </c>
      <c r="D135">
        <v>556</v>
      </c>
      <c r="E135">
        <v>1.24</v>
      </c>
      <c r="F135">
        <v>57.2</v>
      </c>
      <c r="G135">
        <v>15.4</v>
      </c>
      <c r="H135">
        <v>1.4</v>
      </c>
      <c r="I135">
        <v>4.9000000000000004</v>
      </c>
    </row>
    <row r="136" spans="1:9">
      <c r="A136" s="1" t="s">
        <v>17</v>
      </c>
      <c r="B136" s="1">
        <v>2024</v>
      </c>
      <c r="C136" s="1" t="s">
        <v>85</v>
      </c>
      <c r="D136">
        <v>514</v>
      </c>
      <c r="E136">
        <v>1.63</v>
      </c>
      <c r="F136">
        <v>54.1</v>
      </c>
      <c r="G136">
        <v>8.1999999999999993</v>
      </c>
      <c r="H136">
        <v>1.2</v>
      </c>
      <c r="I136">
        <v>3.2</v>
      </c>
    </row>
    <row r="137" spans="1:9">
      <c r="A137" s="1" t="s">
        <v>17</v>
      </c>
      <c r="B137" s="1">
        <v>2025</v>
      </c>
      <c r="C137" s="1" t="s">
        <v>85</v>
      </c>
    </row>
    <row r="138" spans="1:9">
      <c r="A138" s="1" t="s">
        <v>61</v>
      </c>
      <c r="B138" s="1">
        <v>2018</v>
      </c>
      <c r="C138" s="1" t="s">
        <v>85</v>
      </c>
      <c r="D138">
        <v>923</v>
      </c>
      <c r="E138">
        <v>1.02</v>
      </c>
      <c r="F138">
        <v>32.1</v>
      </c>
      <c r="G138">
        <v>34</v>
      </c>
      <c r="H138">
        <v>2</v>
      </c>
      <c r="I138">
        <v>17</v>
      </c>
    </row>
    <row r="139" spans="1:9">
      <c r="A139" s="1" t="s">
        <v>61</v>
      </c>
      <c r="B139" s="1">
        <v>2019</v>
      </c>
      <c r="C139" s="1" t="s">
        <v>85</v>
      </c>
      <c r="D139">
        <v>1058</v>
      </c>
      <c r="E139">
        <v>1.1200000000000001</v>
      </c>
      <c r="F139">
        <v>35.799999999999997</v>
      </c>
      <c r="G139">
        <v>32.299999999999997</v>
      </c>
      <c r="H139">
        <v>2.2000000000000002</v>
      </c>
      <c r="I139">
        <v>11.4</v>
      </c>
    </row>
    <row r="140" spans="1:9">
      <c r="A140" s="1" t="s">
        <v>61</v>
      </c>
      <c r="B140" s="1">
        <v>2020</v>
      </c>
      <c r="C140" s="1" t="s">
        <v>85</v>
      </c>
      <c r="D140">
        <v>1137</v>
      </c>
      <c r="E140">
        <v>1.1000000000000001</v>
      </c>
      <c r="F140">
        <v>39.1</v>
      </c>
      <c r="G140">
        <v>32.799999999999997</v>
      </c>
      <c r="H140">
        <v>2.2999999999999998</v>
      </c>
      <c r="I140">
        <v>29.3</v>
      </c>
    </row>
    <row r="141" spans="1:9">
      <c r="A141" s="1" t="s">
        <v>61</v>
      </c>
      <c r="B141" s="1">
        <v>2021</v>
      </c>
      <c r="C141" s="1" t="s">
        <v>85</v>
      </c>
      <c r="D141">
        <v>1231</v>
      </c>
      <c r="E141">
        <v>1.1499999999999999</v>
      </c>
      <c r="F141">
        <v>39.799999999999997</v>
      </c>
      <c r="G141">
        <v>26.7</v>
      </c>
      <c r="H141">
        <v>2.9</v>
      </c>
      <c r="I141">
        <v>22.8</v>
      </c>
    </row>
    <row r="142" spans="1:9">
      <c r="A142" s="1" t="s">
        <v>61</v>
      </c>
      <c r="B142" s="1">
        <v>2022</v>
      </c>
      <c r="C142" s="1" t="s">
        <v>85</v>
      </c>
      <c r="D142">
        <v>1213</v>
      </c>
      <c r="E142">
        <v>1.1100000000000001</v>
      </c>
      <c r="F142">
        <v>39.700000000000003</v>
      </c>
      <c r="G142">
        <v>18.7</v>
      </c>
      <c r="H142">
        <v>2.2999999999999998</v>
      </c>
      <c r="I142">
        <v>19.399999999999999</v>
      </c>
    </row>
    <row r="143" spans="1:9">
      <c r="A143" s="1" t="s">
        <v>61</v>
      </c>
      <c r="B143" s="1">
        <v>2023</v>
      </c>
      <c r="C143" s="1" t="s">
        <v>85</v>
      </c>
      <c r="D143">
        <v>1194</v>
      </c>
      <c r="E143">
        <v>1.17</v>
      </c>
      <c r="F143">
        <v>40.5</v>
      </c>
      <c r="G143">
        <v>13.9</v>
      </c>
      <c r="H143">
        <v>2.8</v>
      </c>
      <c r="I143">
        <v>10.199999999999999</v>
      </c>
    </row>
    <row r="144" spans="1:9">
      <c r="A144" s="1" t="s">
        <v>61</v>
      </c>
      <c r="B144" s="1">
        <v>2024</v>
      </c>
      <c r="C144" s="1" t="s">
        <v>85</v>
      </c>
      <c r="D144">
        <v>1181</v>
      </c>
      <c r="E144">
        <v>1.1499999999999999</v>
      </c>
      <c r="F144">
        <v>42.5</v>
      </c>
      <c r="G144">
        <v>6.8</v>
      </c>
      <c r="H144">
        <v>2.9</v>
      </c>
      <c r="I144">
        <v>6.6</v>
      </c>
    </row>
    <row r="145" spans="1:9">
      <c r="A145" s="1" t="s">
        <v>61</v>
      </c>
      <c r="B145" s="1">
        <v>2025</v>
      </c>
      <c r="C145" s="1" t="s">
        <v>85</v>
      </c>
    </row>
    <row r="146" spans="1:9">
      <c r="A146" s="1" t="s">
        <v>13</v>
      </c>
      <c r="B146" s="1">
        <v>2018</v>
      </c>
      <c r="C146" s="1" t="s">
        <v>37</v>
      </c>
      <c r="D146">
        <v>54</v>
      </c>
      <c r="E146">
        <v>1.1000000000000001</v>
      </c>
      <c r="F146">
        <v>50</v>
      </c>
      <c r="G146">
        <v>26.6</v>
      </c>
      <c r="H146">
        <v>3.7</v>
      </c>
      <c r="I146">
        <v>28.5</v>
      </c>
    </row>
    <row r="147" spans="1:9">
      <c r="A147" s="1" t="s">
        <v>13</v>
      </c>
      <c r="B147" s="1">
        <v>2019</v>
      </c>
      <c r="C147" s="1" t="s">
        <v>37</v>
      </c>
      <c r="D147">
        <v>93</v>
      </c>
      <c r="E147">
        <v>1.1399999999999999</v>
      </c>
      <c r="F147">
        <v>35.5</v>
      </c>
      <c r="G147">
        <v>52.1</v>
      </c>
      <c r="H147">
        <v>2.2000000000000002</v>
      </c>
      <c r="I147">
        <v>10.5</v>
      </c>
    </row>
    <row r="148" spans="1:9">
      <c r="A148" s="1" t="s">
        <v>13</v>
      </c>
      <c r="B148" s="1">
        <v>2020</v>
      </c>
      <c r="C148" s="1" t="s">
        <v>37</v>
      </c>
      <c r="D148">
        <v>92</v>
      </c>
      <c r="E148">
        <v>1.1499999999999999</v>
      </c>
      <c r="F148">
        <v>31.5</v>
      </c>
      <c r="G148">
        <v>37.799999999999997</v>
      </c>
      <c r="H148">
        <v>1.1000000000000001</v>
      </c>
      <c r="I148">
        <v>75</v>
      </c>
    </row>
    <row r="149" spans="1:9">
      <c r="A149" s="1" t="s">
        <v>13</v>
      </c>
      <c r="B149" s="1">
        <v>2021</v>
      </c>
      <c r="C149" s="1" t="s">
        <v>37</v>
      </c>
      <c r="D149">
        <v>108</v>
      </c>
      <c r="E149">
        <v>1.18</v>
      </c>
      <c r="F149">
        <v>40.700000000000003</v>
      </c>
      <c r="G149">
        <v>34.700000000000003</v>
      </c>
      <c r="H149">
        <v>0.9</v>
      </c>
      <c r="I149">
        <v>19</v>
      </c>
    </row>
    <row r="150" spans="1:9">
      <c r="A150" s="1" t="s">
        <v>13</v>
      </c>
      <c r="B150" s="1">
        <v>2022</v>
      </c>
      <c r="C150" s="1" t="s">
        <v>37</v>
      </c>
      <c r="D150">
        <v>142</v>
      </c>
      <c r="E150">
        <v>1.28</v>
      </c>
      <c r="F150">
        <v>52.8</v>
      </c>
      <c r="G150">
        <v>17.7</v>
      </c>
      <c r="H150">
        <v>1.4</v>
      </c>
      <c r="I150">
        <v>4.5</v>
      </c>
    </row>
    <row r="151" spans="1:9">
      <c r="A151" s="1" t="s">
        <v>13</v>
      </c>
      <c r="B151" s="1">
        <v>2023</v>
      </c>
      <c r="C151" s="1" t="s">
        <v>37</v>
      </c>
      <c r="D151">
        <v>124</v>
      </c>
      <c r="E151">
        <v>1.1299999999999999</v>
      </c>
      <c r="F151">
        <v>48.4</v>
      </c>
      <c r="G151">
        <v>9.3000000000000007</v>
      </c>
      <c r="H151">
        <v>2.4</v>
      </c>
      <c r="I151">
        <v>2</v>
      </c>
    </row>
    <row r="152" spans="1:9">
      <c r="A152" s="1" t="s">
        <v>13</v>
      </c>
      <c r="B152" s="1">
        <v>2024</v>
      </c>
      <c r="C152" s="1" t="s">
        <v>37</v>
      </c>
      <c r="D152">
        <v>115</v>
      </c>
      <c r="E152">
        <v>1.75</v>
      </c>
      <c r="F152">
        <v>55.7</v>
      </c>
      <c r="G152">
        <v>7.1</v>
      </c>
      <c r="H152">
        <v>1.7</v>
      </c>
      <c r="I152">
        <v>3</v>
      </c>
    </row>
    <row r="153" spans="1:9">
      <c r="A153" s="1" t="s">
        <v>13</v>
      </c>
      <c r="B153" s="1">
        <v>2025</v>
      </c>
      <c r="C153" s="1" t="s">
        <v>37</v>
      </c>
    </row>
    <row r="154" spans="1:9">
      <c r="A154" s="1" t="s">
        <v>14</v>
      </c>
      <c r="B154" s="1">
        <v>2018</v>
      </c>
      <c r="C154" s="1" t="s">
        <v>37</v>
      </c>
      <c r="D154">
        <v>18</v>
      </c>
      <c r="E154">
        <v>1.08</v>
      </c>
      <c r="F154">
        <v>16.7</v>
      </c>
      <c r="G154">
        <v>31.7</v>
      </c>
      <c r="H154">
        <v>0</v>
      </c>
      <c r="I154" t="s">
        <v>20</v>
      </c>
    </row>
    <row r="155" spans="1:9">
      <c r="A155" s="1" t="s">
        <v>14</v>
      </c>
      <c r="B155" s="1">
        <v>2019</v>
      </c>
      <c r="C155" s="1" t="s">
        <v>37</v>
      </c>
      <c r="D155">
        <v>10</v>
      </c>
      <c r="E155">
        <v>0.61</v>
      </c>
      <c r="F155">
        <v>20</v>
      </c>
      <c r="G155">
        <v>27.5</v>
      </c>
      <c r="H155">
        <v>0</v>
      </c>
      <c r="I155" t="s">
        <v>20</v>
      </c>
    </row>
    <row r="156" spans="1:9">
      <c r="A156" s="1" t="s">
        <v>14</v>
      </c>
      <c r="B156" s="1">
        <v>2020</v>
      </c>
      <c r="C156" s="1" t="s">
        <v>37</v>
      </c>
      <c r="D156">
        <v>21</v>
      </c>
      <c r="E156">
        <v>0.84</v>
      </c>
      <c r="F156">
        <v>28.6</v>
      </c>
      <c r="G156">
        <v>8.8000000000000007</v>
      </c>
      <c r="H156">
        <v>0</v>
      </c>
      <c r="I156" t="s">
        <v>20</v>
      </c>
    </row>
    <row r="157" spans="1:9">
      <c r="A157" s="1" t="s">
        <v>14</v>
      </c>
      <c r="B157" s="1">
        <v>2021</v>
      </c>
      <c r="C157" s="1" t="s">
        <v>37</v>
      </c>
      <c r="D157">
        <v>15</v>
      </c>
      <c r="E157">
        <v>0.64</v>
      </c>
      <c r="F157">
        <v>26.7</v>
      </c>
      <c r="G157">
        <v>8.3000000000000007</v>
      </c>
      <c r="H157">
        <v>6.7</v>
      </c>
      <c r="I157">
        <v>23</v>
      </c>
    </row>
    <row r="158" spans="1:9">
      <c r="A158" s="1" t="s">
        <v>14</v>
      </c>
      <c r="B158" s="1">
        <v>2022</v>
      </c>
      <c r="C158" s="1" t="s">
        <v>37</v>
      </c>
      <c r="D158">
        <v>22</v>
      </c>
      <c r="E158">
        <v>0.72</v>
      </c>
      <c r="F158">
        <v>18.2</v>
      </c>
      <c r="G158">
        <v>10.8</v>
      </c>
      <c r="H158">
        <v>0</v>
      </c>
      <c r="I158" t="s">
        <v>20</v>
      </c>
    </row>
    <row r="159" spans="1:9">
      <c r="A159" s="1" t="s">
        <v>14</v>
      </c>
      <c r="B159" s="1">
        <v>2023</v>
      </c>
      <c r="C159" s="1" t="s">
        <v>37</v>
      </c>
      <c r="D159">
        <v>14</v>
      </c>
      <c r="E159">
        <v>0.81</v>
      </c>
      <c r="F159">
        <v>14.3</v>
      </c>
      <c r="G159">
        <v>8.5</v>
      </c>
      <c r="H159">
        <v>0</v>
      </c>
      <c r="I159" t="s">
        <v>20</v>
      </c>
    </row>
    <row r="160" spans="1:9">
      <c r="A160" s="1" t="s">
        <v>14</v>
      </c>
      <c r="B160" s="1">
        <v>2024</v>
      </c>
      <c r="C160" s="1" t="s">
        <v>37</v>
      </c>
      <c r="D160">
        <v>15</v>
      </c>
      <c r="E160">
        <v>1.33</v>
      </c>
      <c r="F160">
        <v>40</v>
      </c>
      <c r="G160">
        <v>3.3</v>
      </c>
      <c r="H160">
        <v>0</v>
      </c>
      <c r="I160" t="s">
        <v>20</v>
      </c>
    </row>
    <row r="161" spans="1:9">
      <c r="A161" s="1" t="s">
        <v>14</v>
      </c>
      <c r="B161" s="1">
        <v>2025</v>
      </c>
      <c r="C161" s="1" t="s">
        <v>37</v>
      </c>
    </row>
    <row r="162" spans="1:9">
      <c r="A162" s="1" t="s">
        <v>15</v>
      </c>
      <c r="B162" s="1">
        <v>2018</v>
      </c>
      <c r="C162" s="1" t="s">
        <v>37</v>
      </c>
      <c r="D162">
        <v>111</v>
      </c>
      <c r="E162">
        <v>0.86</v>
      </c>
      <c r="F162">
        <v>33.299999999999997</v>
      </c>
      <c r="G162">
        <v>24.8</v>
      </c>
      <c r="H162">
        <v>2.7</v>
      </c>
      <c r="I162">
        <v>4</v>
      </c>
    </row>
    <row r="163" spans="1:9">
      <c r="A163" s="1" t="s">
        <v>15</v>
      </c>
      <c r="B163" s="1">
        <v>2019</v>
      </c>
      <c r="C163" s="1" t="s">
        <v>37</v>
      </c>
      <c r="D163">
        <v>149</v>
      </c>
      <c r="E163">
        <v>1.22</v>
      </c>
      <c r="F163">
        <v>34.9</v>
      </c>
      <c r="G163">
        <v>30.3</v>
      </c>
      <c r="H163">
        <v>0</v>
      </c>
      <c r="I163" t="s">
        <v>20</v>
      </c>
    </row>
    <row r="164" spans="1:9">
      <c r="A164" s="1" t="s">
        <v>15</v>
      </c>
      <c r="B164" s="1">
        <v>2020</v>
      </c>
      <c r="C164" s="1" t="s">
        <v>37</v>
      </c>
      <c r="D164">
        <v>166</v>
      </c>
      <c r="E164">
        <v>0.89</v>
      </c>
      <c r="F164">
        <v>38</v>
      </c>
      <c r="G164">
        <v>22.7</v>
      </c>
      <c r="H164">
        <v>0</v>
      </c>
      <c r="I164" t="s">
        <v>20</v>
      </c>
    </row>
    <row r="165" spans="1:9">
      <c r="A165" s="1" t="s">
        <v>15</v>
      </c>
      <c r="B165" s="1">
        <v>2021</v>
      </c>
      <c r="C165" s="1" t="s">
        <v>37</v>
      </c>
      <c r="D165">
        <v>233</v>
      </c>
      <c r="E165">
        <v>0.99</v>
      </c>
      <c r="F165">
        <v>37.299999999999997</v>
      </c>
      <c r="G165">
        <v>18.399999999999999</v>
      </c>
      <c r="H165">
        <v>0</v>
      </c>
      <c r="I165" t="s">
        <v>20</v>
      </c>
    </row>
    <row r="166" spans="1:9">
      <c r="A166" s="1" t="s">
        <v>15</v>
      </c>
      <c r="B166" s="1">
        <v>2022</v>
      </c>
      <c r="C166" s="1" t="s">
        <v>37</v>
      </c>
      <c r="D166">
        <v>267</v>
      </c>
      <c r="E166">
        <v>1.0900000000000001</v>
      </c>
      <c r="F166">
        <v>40.4</v>
      </c>
      <c r="G166">
        <v>14.4</v>
      </c>
      <c r="H166">
        <v>1.1000000000000001</v>
      </c>
      <c r="I166">
        <v>12.7</v>
      </c>
    </row>
    <row r="167" spans="1:9">
      <c r="A167" s="1" t="s">
        <v>15</v>
      </c>
      <c r="B167" s="1">
        <v>2023</v>
      </c>
      <c r="C167" s="1" t="s">
        <v>37</v>
      </c>
      <c r="D167">
        <v>240</v>
      </c>
      <c r="E167">
        <v>1.06</v>
      </c>
      <c r="F167">
        <v>40</v>
      </c>
      <c r="G167">
        <v>7.3</v>
      </c>
      <c r="H167">
        <v>0.4</v>
      </c>
      <c r="I167">
        <v>10</v>
      </c>
    </row>
    <row r="168" spans="1:9">
      <c r="A168" s="1" t="s">
        <v>15</v>
      </c>
      <c r="B168" s="1">
        <v>2024</v>
      </c>
      <c r="C168" s="1" t="s">
        <v>37</v>
      </c>
      <c r="D168">
        <v>257</v>
      </c>
      <c r="E168">
        <v>0.85</v>
      </c>
      <c r="F168">
        <v>40.9</v>
      </c>
      <c r="G168">
        <v>4.9000000000000004</v>
      </c>
      <c r="H168">
        <v>0.4</v>
      </c>
      <c r="I168">
        <v>1</v>
      </c>
    </row>
    <row r="169" spans="1:9">
      <c r="A169" s="1" t="s">
        <v>15</v>
      </c>
      <c r="B169" s="1">
        <v>2025</v>
      </c>
      <c r="C169" s="1" t="s">
        <v>37</v>
      </c>
    </row>
    <row r="170" spans="1:9">
      <c r="A170" s="1" t="s">
        <v>16</v>
      </c>
      <c r="B170" s="1">
        <v>2018</v>
      </c>
      <c r="C170" s="1" t="s">
        <v>37</v>
      </c>
      <c r="D170">
        <v>77</v>
      </c>
      <c r="E170">
        <v>0.91</v>
      </c>
      <c r="F170">
        <v>28.6</v>
      </c>
      <c r="G170">
        <v>31</v>
      </c>
      <c r="H170">
        <v>0</v>
      </c>
      <c r="I170" t="s">
        <v>20</v>
      </c>
    </row>
    <row r="171" spans="1:9">
      <c r="A171" s="1" t="s">
        <v>16</v>
      </c>
      <c r="B171" s="1">
        <v>2019</v>
      </c>
      <c r="C171" s="1" t="s">
        <v>37</v>
      </c>
      <c r="D171">
        <v>76</v>
      </c>
      <c r="E171">
        <v>0.91</v>
      </c>
      <c r="F171">
        <v>25</v>
      </c>
      <c r="G171">
        <v>17.600000000000001</v>
      </c>
      <c r="H171">
        <v>3.9</v>
      </c>
      <c r="I171">
        <v>18.7</v>
      </c>
    </row>
    <row r="172" spans="1:9">
      <c r="A172" s="1" t="s">
        <v>16</v>
      </c>
      <c r="B172" s="1">
        <v>2020</v>
      </c>
      <c r="C172" s="1" t="s">
        <v>37</v>
      </c>
      <c r="D172">
        <v>117</v>
      </c>
      <c r="E172">
        <v>0.92</v>
      </c>
      <c r="F172">
        <v>29.9</v>
      </c>
      <c r="G172">
        <v>19.3</v>
      </c>
      <c r="H172">
        <v>3.4</v>
      </c>
      <c r="I172">
        <v>11.3</v>
      </c>
    </row>
    <row r="173" spans="1:9">
      <c r="A173" s="1" t="s">
        <v>16</v>
      </c>
      <c r="B173" s="1">
        <v>2021</v>
      </c>
      <c r="C173" s="1" t="s">
        <v>37</v>
      </c>
      <c r="D173">
        <v>147</v>
      </c>
      <c r="E173">
        <v>1.22</v>
      </c>
      <c r="F173">
        <v>34</v>
      </c>
      <c r="G173">
        <v>29.3</v>
      </c>
      <c r="H173">
        <v>1.4</v>
      </c>
      <c r="I173">
        <v>12</v>
      </c>
    </row>
    <row r="174" spans="1:9">
      <c r="A174" s="1" t="s">
        <v>16</v>
      </c>
      <c r="B174" s="1">
        <v>2022</v>
      </c>
      <c r="C174" s="1" t="s">
        <v>37</v>
      </c>
      <c r="D174">
        <v>165</v>
      </c>
      <c r="E174">
        <v>1.19</v>
      </c>
      <c r="F174">
        <v>37.6</v>
      </c>
      <c r="G174">
        <v>20</v>
      </c>
      <c r="H174">
        <v>1.8</v>
      </c>
      <c r="I174">
        <v>28.7</v>
      </c>
    </row>
    <row r="175" spans="1:9">
      <c r="A175" s="1" t="s">
        <v>16</v>
      </c>
      <c r="B175" s="1">
        <v>2023</v>
      </c>
      <c r="C175" s="1" t="s">
        <v>37</v>
      </c>
      <c r="D175">
        <v>189</v>
      </c>
      <c r="E175">
        <v>1.49</v>
      </c>
      <c r="F175">
        <v>49.2</v>
      </c>
      <c r="G175">
        <v>18.399999999999999</v>
      </c>
      <c r="H175">
        <v>1.1000000000000001</v>
      </c>
      <c r="I175">
        <v>4.5</v>
      </c>
    </row>
    <row r="176" spans="1:9">
      <c r="A176" s="1" t="s">
        <v>16</v>
      </c>
      <c r="B176" s="1">
        <v>2024</v>
      </c>
      <c r="C176" s="1" t="s">
        <v>37</v>
      </c>
      <c r="D176">
        <v>170</v>
      </c>
      <c r="E176">
        <v>0.98</v>
      </c>
      <c r="F176">
        <v>50.6</v>
      </c>
      <c r="G176">
        <v>4.8</v>
      </c>
      <c r="H176">
        <v>1.2</v>
      </c>
      <c r="I176">
        <v>9</v>
      </c>
    </row>
    <row r="177" spans="1:9">
      <c r="A177" s="1" t="s">
        <v>16</v>
      </c>
      <c r="B177" s="1">
        <v>2025</v>
      </c>
      <c r="C177" s="1" t="s">
        <v>37</v>
      </c>
    </row>
    <row r="178" spans="1:9">
      <c r="A178" s="1" t="s">
        <v>17</v>
      </c>
      <c r="B178" s="1">
        <v>2018</v>
      </c>
      <c r="C178" s="1" t="s">
        <v>37</v>
      </c>
      <c r="D178">
        <v>24</v>
      </c>
      <c r="E178">
        <v>1.1000000000000001</v>
      </c>
      <c r="F178">
        <v>37.5</v>
      </c>
      <c r="G178">
        <v>47.1</v>
      </c>
      <c r="H178">
        <v>0</v>
      </c>
      <c r="I178" t="s">
        <v>20</v>
      </c>
    </row>
    <row r="179" spans="1:9">
      <c r="A179" s="1" t="s">
        <v>17</v>
      </c>
      <c r="B179" s="1">
        <v>2019</v>
      </c>
      <c r="C179" s="1" t="s">
        <v>37</v>
      </c>
      <c r="D179">
        <v>28</v>
      </c>
      <c r="E179">
        <v>0.92</v>
      </c>
      <c r="F179">
        <v>39.299999999999997</v>
      </c>
      <c r="G179">
        <v>28.5</v>
      </c>
      <c r="H179">
        <v>7.1</v>
      </c>
      <c r="I179">
        <v>13</v>
      </c>
    </row>
    <row r="180" spans="1:9">
      <c r="A180" s="1" t="s">
        <v>17</v>
      </c>
      <c r="B180" s="1">
        <v>2020</v>
      </c>
      <c r="C180" s="1" t="s">
        <v>37</v>
      </c>
      <c r="D180">
        <v>49</v>
      </c>
      <c r="E180">
        <v>1.33</v>
      </c>
      <c r="F180">
        <v>63.3</v>
      </c>
      <c r="G180">
        <v>35.799999999999997</v>
      </c>
      <c r="H180">
        <v>0</v>
      </c>
      <c r="I180" t="s">
        <v>20</v>
      </c>
    </row>
    <row r="181" spans="1:9">
      <c r="A181" s="1" t="s">
        <v>17</v>
      </c>
      <c r="B181" s="1">
        <v>2021</v>
      </c>
      <c r="C181" s="1" t="s">
        <v>37</v>
      </c>
      <c r="D181">
        <v>74</v>
      </c>
      <c r="E181">
        <v>1.22</v>
      </c>
      <c r="F181">
        <v>56.8</v>
      </c>
      <c r="G181">
        <v>28.5</v>
      </c>
      <c r="H181">
        <v>2.7</v>
      </c>
      <c r="I181">
        <v>62.5</v>
      </c>
    </row>
    <row r="182" spans="1:9">
      <c r="A182" s="1" t="s">
        <v>17</v>
      </c>
      <c r="B182" s="1">
        <v>2022</v>
      </c>
      <c r="C182" s="1" t="s">
        <v>37</v>
      </c>
      <c r="D182">
        <v>65</v>
      </c>
      <c r="E182">
        <v>1.93</v>
      </c>
      <c r="F182">
        <v>58.5</v>
      </c>
      <c r="G182">
        <v>30.7</v>
      </c>
      <c r="H182">
        <v>3.1</v>
      </c>
      <c r="I182">
        <v>28.5</v>
      </c>
    </row>
    <row r="183" spans="1:9">
      <c r="A183" s="1" t="s">
        <v>17</v>
      </c>
      <c r="B183" s="1">
        <v>2023</v>
      </c>
      <c r="C183" s="1" t="s">
        <v>37</v>
      </c>
      <c r="D183">
        <v>100</v>
      </c>
      <c r="E183">
        <v>2.82</v>
      </c>
      <c r="F183">
        <v>63</v>
      </c>
      <c r="G183">
        <v>30</v>
      </c>
      <c r="H183">
        <v>2</v>
      </c>
      <c r="I183">
        <v>8.5</v>
      </c>
    </row>
    <row r="184" spans="1:9">
      <c r="A184" s="1" t="s">
        <v>17</v>
      </c>
      <c r="B184" s="1">
        <v>2024</v>
      </c>
      <c r="C184" s="1" t="s">
        <v>37</v>
      </c>
      <c r="D184">
        <v>49</v>
      </c>
      <c r="E184">
        <v>0.88</v>
      </c>
      <c r="F184">
        <v>49</v>
      </c>
      <c r="G184">
        <v>2.9</v>
      </c>
      <c r="H184">
        <v>0</v>
      </c>
      <c r="I184" t="s">
        <v>20</v>
      </c>
    </row>
    <row r="185" spans="1:9">
      <c r="A185" s="1" t="s">
        <v>17</v>
      </c>
      <c r="B185" s="1">
        <v>2025</v>
      </c>
      <c r="C185" s="1" t="s">
        <v>37</v>
      </c>
    </row>
    <row r="186" spans="1:9">
      <c r="A186" s="1" t="s">
        <v>61</v>
      </c>
      <c r="B186" s="1">
        <v>2018</v>
      </c>
      <c r="C186" s="1" t="s">
        <v>37</v>
      </c>
      <c r="D186">
        <v>97</v>
      </c>
      <c r="E186">
        <v>1.29</v>
      </c>
      <c r="F186">
        <v>38.1</v>
      </c>
      <c r="G186">
        <v>50.1</v>
      </c>
      <c r="H186">
        <v>0</v>
      </c>
      <c r="I186" t="s">
        <v>20</v>
      </c>
    </row>
    <row r="187" spans="1:9">
      <c r="A187" s="1" t="s">
        <v>61</v>
      </c>
      <c r="B187" s="1">
        <v>2019</v>
      </c>
      <c r="C187" s="1" t="s">
        <v>37</v>
      </c>
      <c r="D187">
        <v>82</v>
      </c>
      <c r="E187">
        <v>1.56</v>
      </c>
      <c r="F187">
        <v>39</v>
      </c>
      <c r="G187">
        <v>52.5</v>
      </c>
      <c r="H187">
        <v>1.2</v>
      </c>
      <c r="I187">
        <v>14</v>
      </c>
    </row>
    <row r="188" spans="1:9">
      <c r="A188" s="1" t="s">
        <v>61</v>
      </c>
      <c r="B188" s="1">
        <v>2020</v>
      </c>
      <c r="C188" s="1" t="s">
        <v>37</v>
      </c>
      <c r="D188">
        <v>110</v>
      </c>
      <c r="E188">
        <v>1.43</v>
      </c>
      <c r="F188">
        <v>40</v>
      </c>
      <c r="G188">
        <v>49</v>
      </c>
      <c r="H188">
        <v>1.8</v>
      </c>
      <c r="I188">
        <v>36.5</v>
      </c>
    </row>
    <row r="189" spans="1:9">
      <c r="A189" s="1" t="s">
        <v>61</v>
      </c>
      <c r="B189" s="1">
        <v>2021</v>
      </c>
      <c r="C189" s="1" t="s">
        <v>37</v>
      </c>
      <c r="D189">
        <v>134</v>
      </c>
      <c r="E189">
        <v>1.55</v>
      </c>
      <c r="F189">
        <v>44</v>
      </c>
      <c r="G189">
        <v>31.1</v>
      </c>
      <c r="H189">
        <v>1.5</v>
      </c>
      <c r="I189">
        <v>60.5</v>
      </c>
    </row>
    <row r="190" spans="1:9">
      <c r="A190" s="1" t="s">
        <v>61</v>
      </c>
      <c r="B190" s="1">
        <v>2022</v>
      </c>
      <c r="C190" s="1" t="s">
        <v>37</v>
      </c>
      <c r="D190">
        <v>131</v>
      </c>
      <c r="E190">
        <v>1.36</v>
      </c>
      <c r="F190">
        <v>44.3</v>
      </c>
      <c r="G190">
        <v>24.1</v>
      </c>
      <c r="H190">
        <v>0.8</v>
      </c>
      <c r="I190">
        <v>8</v>
      </c>
    </row>
    <row r="191" spans="1:9">
      <c r="A191" s="1" t="s">
        <v>61</v>
      </c>
      <c r="B191" s="1">
        <v>2023</v>
      </c>
      <c r="C191" s="1" t="s">
        <v>37</v>
      </c>
      <c r="D191">
        <v>120</v>
      </c>
      <c r="E191">
        <v>1.44</v>
      </c>
      <c r="F191">
        <v>62.5</v>
      </c>
      <c r="G191">
        <v>15.6</v>
      </c>
      <c r="H191">
        <v>5</v>
      </c>
      <c r="I191">
        <v>16.5</v>
      </c>
    </row>
    <row r="192" spans="1:9">
      <c r="A192" s="1" t="s">
        <v>61</v>
      </c>
      <c r="B192" s="1">
        <v>2024</v>
      </c>
      <c r="C192" s="1" t="s">
        <v>37</v>
      </c>
      <c r="D192">
        <v>121</v>
      </c>
      <c r="E192">
        <v>1.39</v>
      </c>
      <c r="F192">
        <v>55.4</v>
      </c>
      <c r="G192">
        <v>6.2</v>
      </c>
      <c r="H192">
        <v>3.3</v>
      </c>
      <c r="I192">
        <v>14.5</v>
      </c>
    </row>
    <row r="193" spans="1:9">
      <c r="A193" s="1" t="s">
        <v>61</v>
      </c>
      <c r="B193" s="1">
        <v>2025</v>
      </c>
      <c r="C193" s="1" t="s">
        <v>37</v>
      </c>
    </row>
    <row r="194" spans="1:9">
      <c r="A194" s="1" t="s">
        <v>13</v>
      </c>
      <c r="B194" s="1">
        <v>2018</v>
      </c>
      <c r="C194" s="1" t="s">
        <v>75</v>
      </c>
      <c r="D194">
        <v>778</v>
      </c>
      <c r="E194">
        <v>0.94</v>
      </c>
      <c r="F194">
        <v>34.4</v>
      </c>
      <c r="G194">
        <v>30.4</v>
      </c>
      <c r="H194">
        <v>2.1</v>
      </c>
      <c r="I194">
        <v>17.600000000000001</v>
      </c>
    </row>
    <row r="195" spans="1:9">
      <c r="A195" s="1" t="s">
        <v>13</v>
      </c>
      <c r="B195" s="1">
        <v>2019</v>
      </c>
      <c r="C195" s="1" t="s">
        <v>38</v>
      </c>
      <c r="D195">
        <v>732</v>
      </c>
      <c r="E195">
        <v>1.19</v>
      </c>
      <c r="F195">
        <v>38.4</v>
      </c>
      <c r="G195">
        <v>38.799999999999997</v>
      </c>
      <c r="H195">
        <v>2.6</v>
      </c>
      <c r="I195">
        <v>12.4</v>
      </c>
    </row>
    <row r="196" spans="1:9">
      <c r="A196" s="1" t="s">
        <v>13</v>
      </c>
      <c r="B196" s="1">
        <v>2020</v>
      </c>
      <c r="C196" s="1" t="s">
        <v>38</v>
      </c>
      <c r="D196">
        <v>847</v>
      </c>
      <c r="E196">
        <v>1.0900000000000001</v>
      </c>
      <c r="F196">
        <v>38.299999999999997</v>
      </c>
      <c r="G196">
        <v>30.9</v>
      </c>
      <c r="H196">
        <v>2</v>
      </c>
      <c r="I196">
        <v>22.6</v>
      </c>
    </row>
    <row r="197" spans="1:9">
      <c r="A197" s="1" t="s">
        <v>13</v>
      </c>
      <c r="B197" s="1">
        <v>2021</v>
      </c>
      <c r="C197" s="1" t="s">
        <v>38</v>
      </c>
      <c r="D197">
        <v>911</v>
      </c>
      <c r="E197">
        <v>1.04</v>
      </c>
      <c r="F197">
        <v>41.6</v>
      </c>
      <c r="G197">
        <v>24.2</v>
      </c>
      <c r="H197">
        <v>2.7</v>
      </c>
      <c r="I197">
        <v>13.8</v>
      </c>
    </row>
    <row r="198" spans="1:9">
      <c r="A198" s="1" t="s">
        <v>13</v>
      </c>
      <c r="B198" s="1">
        <v>2022</v>
      </c>
      <c r="C198" s="1" t="s">
        <v>38</v>
      </c>
      <c r="D198">
        <v>921</v>
      </c>
      <c r="E198">
        <v>0.98</v>
      </c>
      <c r="F198">
        <v>44.6</v>
      </c>
      <c r="G198">
        <v>16.7</v>
      </c>
      <c r="H198">
        <v>5</v>
      </c>
      <c r="I198">
        <v>12.4</v>
      </c>
    </row>
    <row r="199" spans="1:9">
      <c r="A199" s="1" t="s">
        <v>13</v>
      </c>
      <c r="B199" s="1">
        <v>2023</v>
      </c>
      <c r="C199" s="1" t="s">
        <v>38</v>
      </c>
      <c r="D199">
        <v>825</v>
      </c>
      <c r="E199">
        <v>1.1200000000000001</v>
      </c>
      <c r="F199">
        <v>40.4</v>
      </c>
      <c r="G199">
        <v>11.9</v>
      </c>
      <c r="H199">
        <v>2.7</v>
      </c>
      <c r="I199">
        <v>7.5</v>
      </c>
    </row>
    <row r="200" spans="1:9">
      <c r="A200" s="1" t="s">
        <v>13</v>
      </c>
      <c r="B200" s="1">
        <v>2024</v>
      </c>
      <c r="C200" s="1" t="s">
        <v>38</v>
      </c>
      <c r="D200">
        <v>856</v>
      </c>
      <c r="E200">
        <v>0.96</v>
      </c>
      <c r="F200">
        <v>42.3</v>
      </c>
      <c r="G200">
        <v>7</v>
      </c>
      <c r="H200">
        <v>2.6</v>
      </c>
      <c r="I200">
        <v>9.1999999999999993</v>
      </c>
    </row>
    <row r="201" spans="1:9">
      <c r="A201" s="1" t="s">
        <v>13</v>
      </c>
      <c r="B201" s="1">
        <v>2025</v>
      </c>
      <c r="C201" s="1" t="s">
        <v>38</v>
      </c>
    </row>
    <row r="202" spans="1:9">
      <c r="A202" s="1" t="s">
        <v>14</v>
      </c>
      <c r="B202" s="1">
        <v>2018</v>
      </c>
      <c r="C202" s="1" t="s">
        <v>38</v>
      </c>
      <c r="D202">
        <v>171</v>
      </c>
      <c r="E202">
        <v>0.62</v>
      </c>
      <c r="F202">
        <v>11.7</v>
      </c>
      <c r="G202">
        <v>8.6</v>
      </c>
      <c r="H202">
        <v>0</v>
      </c>
      <c r="I202" t="s">
        <v>20</v>
      </c>
    </row>
    <row r="203" spans="1:9">
      <c r="A203" s="1" t="s">
        <v>14</v>
      </c>
      <c r="B203" s="1">
        <v>2019</v>
      </c>
      <c r="C203" s="1" t="s">
        <v>38</v>
      </c>
      <c r="D203">
        <v>141</v>
      </c>
      <c r="E203">
        <v>0.5</v>
      </c>
      <c r="F203">
        <v>14.9</v>
      </c>
      <c r="G203">
        <v>13.8</v>
      </c>
      <c r="H203">
        <v>1.4</v>
      </c>
      <c r="I203">
        <v>1</v>
      </c>
    </row>
    <row r="204" spans="1:9">
      <c r="A204" s="1" t="s">
        <v>14</v>
      </c>
      <c r="B204" s="1">
        <v>2020</v>
      </c>
      <c r="C204" s="1" t="s">
        <v>38</v>
      </c>
      <c r="D204">
        <v>172</v>
      </c>
      <c r="E204">
        <v>0.64</v>
      </c>
      <c r="F204">
        <v>21.5</v>
      </c>
      <c r="G204">
        <v>20.100000000000001</v>
      </c>
      <c r="H204">
        <v>0</v>
      </c>
      <c r="I204" t="s">
        <v>20</v>
      </c>
    </row>
    <row r="205" spans="1:9">
      <c r="A205" s="1" t="s">
        <v>14</v>
      </c>
      <c r="B205" s="1">
        <v>2021</v>
      </c>
      <c r="C205" s="1" t="s">
        <v>38</v>
      </c>
      <c r="D205">
        <v>149</v>
      </c>
      <c r="E205">
        <v>0.53</v>
      </c>
      <c r="F205">
        <v>13.4</v>
      </c>
      <c r="G205">
        <v>8.6999999999999993</v>
      </c>
      <c r="H205">
        <v>0.7</v>
      </c>
      <c r="I205">
        <v>5</v>
      </c>
    </row>
    <row r="206" spans="1:9">
      <c r="A206" s="1" t="s">
        <v>14</v>
      </c>
      <c r="B206" s="1">
        <v>2022</v>
      </c>
      <c r="C206" s="1" t="s">
        <v>38</v>
      </c>
      <c r="D206">
        <v>189</v>
      </c>
      <c r="E206">
        <v>0.65</v>
      </c>
      <c r="F206">
        <v>16.899999999999999</v>
      </c>
      <c r="G206">
        <v>8.4</v>
      </c>
      <c r="H206">
        <v>0.5</v>
      </c>
      <c r="I206">
        <v>8</v>
      </c>
    </row>
    <row r="207" spans="1:9">
      <c r="A207" s="1" t="s">
        <v>14</v>
      </c>
      <c r="B207" s="1">
        <v>2023</v>
      </c>
      <c r="C207" s="1" t="s">
        <v>38</v>
      </c>
      <c r="D207">
        <v>143</v>
      </c>
      <c r="E207">
        <v>0.52</v>
      </c>
      <c r="F207">
        <v>16.8</v>
      </c>
      <c r="G207">
        <v>7.2</v>
      </c>
      <c r="H207">
        <v>5.6</v>
      </c>
      <c r="I207">
        <v>4.4000000000000004</v>
      </c>
    </row>
    <row r="208" spans="1:9">
      <c r="A208" s="1" t="s">
        <v>14</v>
      </c>
      <c r="B208" s="1">
        <v>2024</v>
      </c>
      <c r="C208" s="1" t="s">
        <v>38</v>
      </c>
      <c r="D208">
        <v>171</v>
      </c>
      <c r="E208">
        <v>0.66</v>
      </c>
      <c r="F208">
        <v>19.3</v>
      </c>
      <c r="G208">
        <v>2.2000000000000002</v>
      </c>
      <c r="H208">
        <v>3.5</v>
      </c>
      <c r="I208">
        <v>1.8</v>
      </c>
    </row>
    <row r="209" spans="1:9">
      <c r="A209" s="1" t="s">
        <v>14</v>
      </c>
      <c r="B209" s="1">
        <v>2025</v>
      </c>
      <c r="C209" s="1" t="s">
        <v>38</v>
      </c>
    </row>
    <row r="210" spans="1:9">
      <c r="A210" s="1" t="s">
        <v>15</v>
      </c>
      <c r="B210" s="1">
        <v>2018</v>
      </c>
      <c r="C210" s="1" t="s">
        <v>38</v>
      </c>
      <c r="D210">
        <v>124</v>
      </c>
      <c r="E210">
        <v>0.98</v>
      </c>
      <c r="F210">
        <v>33.1</v>
      </c>
      <c r="G210">
        <v>25.8</v>
      </c>
      <c r="H210">
        <v>1.6</v>
      </c>
      <c r="I210">
        <v>4.5</v>
      </c>
    </row>
    <row r="211" spans="1:9">
      <c r="A211" s="1" t="s">
        <v>15</v>
      </c>
      <c r="B211" s="1">
        <v>2019</v>
      </c>
      <c r="C211" s="1" t="s">
        <v>38</v>
      </c>
      <c r="D211">
        <v>144</v>
      </c>
      <c r="E211">
        <v>0.97</v>
      </c>
      <c r="F211">
        <v>30.6</v>
      </c>
      <c r="G211">
        <v>29.4</v>
      </c>
      <c r="H211">
        <v>0</v>
      </c>
      <c r="I211" t="s">
        <v>20</v>
      </c>
    </row>
    <row r="212" spans="1:9">
      <c r="A212" s="1" t="s">
        <v>15</v>
      </c>
      <c r="B212" s="1">
        <v>2020</v>
      </c>
      <c r="C212" s="1" t="s">
        <v>38</v>
      </c>
      <c r="D212">
        <v>145</v>
      </c>
      <c r="E212">
        <v>0.8</v>
      </c>
      <c r="F212">
        <v>29</v>
      </c>
      <c r="G212">
        <v>17.100000000000001</v>
      </c>
      <c r="H212">
        <v>0</v>
      </c>
      <c r="I212" t="s">
        <v>20</v>
      </c>
    </row>
    <row r="213" spans="1:9">
      <c r="A213" s="1" t="s">
        <v>15</v>
      </c>
      <c r="B213" s="1">
        <v>2021</v>
      </c>
      <c r="C213" s="1" t="s">
        <v>38</v>
      </c>
      <c r="D213">
        <v>186</v>
      </c>
      <c r="E213">
        <v>0.79</v>
      </c>
      <c r="F213">
        <v>37.6</v>
      </c>
      <c r="G213">
        <v>13.9</v>
      </c>
      <c r="H213">
        <v>1.1000000000000001</v>
      </c>
      <c r="I213">
        <v>8.5</v>
      </c>
    </row>
    <row r="214" spans="1:9">
      <c r="A214" s="1" t="s">
        <v>15</v>
      </c>
      <c r="B214" s="1">
        <v>2022</v>
      </c>
      <c r="C214" s="1" t="s">
        <v>38</v>
      </c>
      <c r="D214">
        <v>217</v>
      </c>
      <c r="E214">
        <v>1.01</v>
      </c>
      <c r="F214">
        <v>40.1</v>
      </c>
      <c r="G214">
        <v>15.4</v>
      </c>
      <c r="H214">
        <v>0.9</v>
      </c>
      <c r="I214">
        <v>14.5</v>
      </c>
    </row>
    <row r="215" spans="1:9">
      <c r="A215" s="1" t="s">
        <v>15</v>
      </c>
      <c r="B215" s="1">
        <v>2023</v>
      </c>
      <c r="C215" s="1" t="s">
        <v>38</v>
      </c>
      <c r="D215">
        <v>210</v>
      </c>
      <c r="E215">
        <v>0.74</v>
      </c>
      <c r="F215">
        <v>34.799999999999997</v>
      </c>
      <c r="G215">
        <v>9.4</v>
      </c>
      <c r="H215">
        <v>1</v>
      </c>
      <c r="I215">
        <v>7.5</v>
      </c>
    </row>
    <row r="216" spans="1:9">
      <c r="A216" s="1" t="s">
        <v>15</v>
      </c>
      <c r="B216" s="1">
        <v>2024</v>
      </c>
      <c r="C216" s="1" t="s">
        <v>38</v>
      </c>
      <c r="D216">
        <v>170</v>
      </c>
      <c r="E216">
        <v>0.77</v>
      </c>
      <c r="F216">
        <v>33.5</v>
      </c>
      <c r="G216">
        <v>4.8</v>
      </c>
      <c r="H216">
        <v>0</v>
      </c>
      <c r="I216" t="s">
        <v>20</v>
      </c>
    </row>
    <row r="217" spans="1:9">
      <c r="A217" s="1" t="s">
        <v>15</v>
      </c>
      <c r="B217" s="1">
        <v>2025</v>
      </c>
      <c r="C217" s="1" t="s">
        <v>38</v>
      </c>
    </row>
    <row r="218" spans="1:9">
      <c r="A218" s="1" t="s">
        <v>16</v>
      </c>
      <c r="B218" s="1">
        <v>2018</v>
      </c>
      <c r="C218" s="1" t="s">
        <v>38</v>
      </c>
      <c r="D218">
        <v>355</v>
      </c>
      <c r="E218">
        <v>0.76</v>
      </c>
      <c r="F218">
        <v>27.3</v>
      </c>
      <c r="G218">
        <v>26.5</v>
      </c>
      <c r="H218">
        <v>1.1000000000000001</v>
      </c>
      <c r="I218">
        <v>6.8</v>
      </c>
    </row>
    <row r="219" spans="1:9">
      <c r="A219" s="1" t="s">
        <v>16</v>
      </c>
      <c r="B219" s="1">
        <v>2019</v>
      </c>
      <c r="C219" s="1" t="s">
        <v>38</v>
      </c>
      <c r="D219">
        <v>380</v>
      </c>
      <c r="E219">
        <v>0.84</v>
      </c>
      <c r="F219">
        <v>30.5</v>
      </c>
      <c r="G219">
        <v>24.1</v>
      </c>
      <c r="H219">
        <v>1.6</v>
      </c>
      <c r="I219">
        <v>14.2</v>
      </c>
    </row>
    <row r="220" spans="1:9">
      <c r="A220" s="1" t="s">
        <v>16</v>
      </c>
      <c r="B220" s="1">
        <v>2020</v>
      </c>
      <c r="C220" s="1" t="s">
        <v>38</v>
      </c>
      <c r="D220">
        <v>471</v>
      </c>
      <c r="E220">
        <v>0.99</v>
      </c>
      <c r="F220">
        <v>33.1</v>
      </c>
      <c r="G220">
        <v>30.4</v>
      </c>
      <c r="H220">
        <v>1.7</v>
      </c>
      <c r="I220">
        <v>37.4</v>
      </c>
    </row>
    <row r="221" spans="1:9">
      <c r="A221" s="1" t="s">
        <v>16</v>
      </c>
      <c r="B221" s="1">
        <v>2021</v>
      </c>
      <c r="C221" s="1" t="s">
        <v>38</v>
      </c>
      <c r="D221">
        <v>534</v>
      </c>
      <c r="E221">
        <v>1.1299999999999999</v>
      </c>
      <c r="F221">
        <v>34.6</v>
      </c>
      <c r="G221">
        <v>30.2</v>
      </c>
      <c r="H221">
        <v>2.2000000000000002</v>
      </c>
      <c r="I221">
        <v>16.8</v>
      </c>
    </row>
    <row r="222" spans="1:9">
      <c r="A222" s="1" t="s">
        <v>16</v>
      </c>
      <c r="B222" s="1">
        <v>2022</v>
      </c>
      <c r="C222" s="1" t="s">
        <v>38</v>
      </c>
      <c r="D222">
        <v>692</v>
      </c>
      <c r="E222">
        <v>1.07</v>
      </c>
      <c r="F222">
        <v>41</v>
      </c>
      <c r="G222">
        <v>26.2</v>
      </c>
      <c r="H222">
        <v>2</v>
      </c>
      <c r="I222">
        <v>19.100000000000001</v>
      </c>
    </row>
    <row r="223" spans="1:9">
      <c r="A223" s="1" t="s">
        <v>16</v>
      </c>
      <c r="B223" s="1">
        <v>2023</v>
      </c>
      <c r="C223" s="1" t="s">
        <v>38</v>
      </c>
      <c r="D223">
        <v>601</v>
      </c>
      <c r="E223">
        <v>1.08</v>
      </c>
      <c r="F223">
        <v>42.8</v>
      </c>
      <c r="G223">
        <v>17.600000000000001</v>
      </c>
      <c r="H223">
        <v>2</v>
      </c>
      <c r="I223">
        <v>8.9</v>
      </c>
    </row>
    <row r="224" spans="1:9">
      <c r="A224" s="1" t="s">
        <v>16</v>
      </c>
      <c r="B224" s="1">
        <v>2024</v>
      </c>
      <c r="C224" s="1" t="s">
        <v>38</v>
      </c>
      <c r="D224">
        <v>585</v>
      </c>
      <c r="E224">
        <v>0.86</v>
      </c>
      <c r="F224">
        <v>38.799999999999997</v>
      </c>
      <c r="G224">
        <v>5.5</v>
      </c>
      <c r="H224">
        <v>2.1</v>
      </c>
      <c r="I224">
        <v>2.2999999999999998</v>
      </c>
    </row>
    <row r="225" spans="1:9">
      <c r="A225" s="1" t="s">
        <v>16</v>
      </c>
      <c r="B225" s="1">
        <v>2025</v>
      </c>
      <c r="C225" s="1" t="s">
        <v>38</v>
      </c>
    </row>
    <row r="226" spans="1:9">
      <c r="A226" s="1" t="s">
        <v>17</v>
      </c>
      <c r="B226" s="1">
        <v>2018</v>
      </c>
      <c r="C226" s="1" t="s">
        <v>38</v>
      </c>
      <c r="D226">
        <v>285</v>
      </c>
      <c r="E226">
        <v>0.63</v>
      </c>
      <c r="F226">
        <v>28.1</v>
      </c>
      <c r="G226">
        <v>23</v>
      </c>
      <c r="H226">
        <v>3.2</v>
      </c>
      <c r="I226">
        <v>8.9</v>
      </c>
    </row>
    <row r="227" spans="1:9">
      <c r="A227" s="1" t="s">
        <v>17</v>
      </c>
      <c r="B227" s="1">
        <v>2019</v>
      </c>
      <c r="C227" s="1" t="s">
        <v>38</v>
      </c>
      <c r="D227">
        <v>307</v>
      </c>
      <c r="E227">
        <v>0.86</v>
      </c>
      <c r="F227">
        <v>33.6</v>
      </c>
      <c r="G227">
        <v>29.7</v>
      </c>
      <c r="H227">
        <v>2.6</v>
      </c>
      <c r="I227">
        <v>5.9</v>
      </c>
    </row>
    <row r="228" spans="1:9">
      <c r="A228" s="1" t="s">
        <v>17</v>
      </c>
      <c r="B228" s="1">
        <v>2020</v>
      </c>
      <c r="C228" s="1" t="s">
        <v>38</v>
      </c>
      <c r="D228">
        <v>408</v>
      </c>
      <c r="E228">
        <v>1.29</v>
      </c>
      <c r="F228">
        <v>48</v>
      </c>
      <c r="G228">
        <v>34.799999999999997</v>
      </c>
      <c r="H228">
        <v>0.5</v>
      </c>
      <c r="I228">
        <v>14.5</v>
      </c>
    </row>
    <row r="229" spans="1:9">
      <c r="A229" s="1" t="s">
        <v>17</v>
      </c>
      <c r="B229" s="1">
        <v>2021</v>
      </c>
      <c r="C229" s="1" t="s">
        <v>38</v>
      </c>
      <c r="D229">
        <v>533</v>
      </c>
      <c r="E229">
        <v>1.25</v>
      </c>
      <c r="F229">
        <v>54</v>
      </c>
      <c r="G229">
        <v>26.2</v>
      </c>
      <c r="H229">
        <v>1.1000000000000001</v>
      </c>
      <c r="I229">
        <v>19.2</v>
      </c>
    </row>
    <row r="230" spans="1:9">
      <c r="A230" s="1" t="s">
        <v>17</v>
      </c>
      <c r="B230" s="1">
        <v>2022</v>
      </c>
      <c r="C230" s="1" t="s">
        <v>38</v>
      </c>
      <c r="D230">
        <v>552</v>
      </c>
      <c r="E230">
        <v>1.59</v>
      </c>
      <c r="F230">
        <v>64.099999999999994</v>
      </c>
      <c r="G230">
        <v>22.9</v>
      </c>
      <c r="H230">
        <v>2.2000000000000002</v>
      </c>
      <c r="I230">
        <v>24.9</v>
      </c>
    </row>
    <row r="231" spans="1:9">
      <c r="A231" s="1" t="s">
        <v>17</v>
      </c>
      <c r="B231" s="1">
        <v>2023</v>
      </c>
      <c r="C231" s="1" t="s">
        <v>38</v>
      </c>
      <c r="D231">
        <v>486</v>
      </c>
      <c r="E231">
        <v>1.32</v>
      </c>
      <c r="F231">
        <v>59.5</v>
      </c>
      <c r="G231">
        <v>13.9</v>
      </c>
      <c r="H231">
        <v>0.8</v>
      </c>
      <c r="I231">
        <v>4.8</v>
      </c>
    </row>
    <row r="232" spans="1:9">
      <c r="A232" s="1" t="s">
        <v>17</v>
      </c>
      <c r="B232" s="1">
        <v>2024</v>
      </c>
      <c r="C232" s="1" t="s">
        <v>38</v>
      </c>
      <c r="D232">
        <v>442</v>
      </c>
      <c r="E232">
        <v>1.25</v>
      </c>
      <c r="F232">
        <v>52.5</v>
      </c>
      <c r="G232">
        <v>6.5</v>
      </c>
      <c r="H232">
        <v>1.4</v>
      </c>
      <c r="I232">
        <v>3.2</v>
      </c>
    </row>
    <row r="233" spans="1:9">
      <c r="A233" s="1" t="s">
        <v>17</v>
      </c>
      <c r="B233" s="1">
        <v>2025</v>
      </c>
      <c r="C233" s="1" t="s">
        <v>38</v>
      </c>
    </row>
    <row r="234" spans="1:9">
      <c r="A234" s="1" t="s">
        <v>61</v>
      </c>
      <c r="B234" s="1">
        <v>2018</v>
      </c>
      <c r="C234" s="1" t="s">
        <v>38</v>
      </c>
      <c r="D234">
        <v>638</v>
      </c>
      <c r="E234">
        <v>1.1299999999999999</v>
      </c>
      <c r="F234">
        <v>33.9</v>
      </c>
      <c r="G234">
        <v>38.1</v>
      </c>
      <c r="H234">
        <v>1.4</v>
      </c>
      <c r="I234">
        <v>40.700000000000003</v>
      </c>
    </row>
    <row r="235" spans="1:9">
      <c r="A235" s="1" t="s">
        <v>61</v>
      </c>
      <c r="B235" s="1">
        <v>2019</v>
      </c>
      <c r="C235" s="1" t="s">
        <v>38</v>
      </c>
      <c r="D235">
        <v>764</v>
      </c>
      <c r="E235">
        <v>1.1399999999999999</v>
      </c>
      <c r="F235">
        <v>40.700000000000003</v>
      </c>
      <c r="G235">
        <v>34.1</v>
      </c>
      <c r="H235">
        <v>1.4</v>
      </c>
      <c r="I235">
        <v>15.2</v>
      </c>
    </row>
    <row r="236" spans="1:9">
      <c r="A236" s="1" t="s">
        <v>61</v>
      </c>
      <c r="B236" s="1">
        <v>2020</v>
      </c>
      <c r="C236" s="1" t="s">
        <v>38</v>
      </c>
      <c r="D236">
        <v>820</v>
      </c>
      <c r="E236">
        <v>1.1399999999999999</v>
      </c>
      <c r="F236">
        <v>42.9</v>
      </c>
      <c r="G236">
        <v>31.5</v>
      </c>
      <c r="H236">
        <v>1.6</v>
      </c>
      <c r="I236">
        <v>30.5</v>
      </c>
    </row>
    <row r="237" spans="1:9">
      <c r="A237" s="1" t="s">
        <v>61</v>
      </c>
      <c r="B237" s="1">
        <v>2021</v>
      </c>
      <c r="C237" s="1" t="s">
        <v>38</v>
      </c>
      <c r="D237">
        <v>915</v>
      </c>
      <c r="E237">
        <v>1.23</v>
      </c>
      <c r="F237">
        <v>42.3</v>
      </c>
      <c r="G237">
        <v>24.9</v>
      </c>
      <c r="H237">
        <v>2.7</v>
      </c>
      <c r="I237">
        <v>24.1</v>
      </c>
    </row>
    <row r="238" spans="1:9">
      <c r="A238" s="1" t="s">
        <v>61</v>
      </c>
      <c r="B238" s="1">
        <v>2022</v>
      </c>
      <c r="C238" s="1" t="s">
        <v>38</v>
      </c>
      <c r="D238">
        <v>840</v>
      </c>
      <c r="E238">
        <v>1.1100000000000001</v>
      </c>
      <c r="F238">
        <v>39.5</v>
      </c>
      <c r="G238">
        <v>19.7</v>
      </c>
      <c r="H238">
        <v>2.2999999999999998</v>
      </c>
      <c r="I238">
        <v>16.399999999999999</v>
      </c>
    </row>
    <row r="239" spans="1:9">
      <c r="A239" s="1" t="s">
        <v>61</v>
      </c>
      <c r="B239" s="1">
        <v>2023</v>
      </c>
      <c r="C239" s="1" t="s">
        <v>38</v>
      </c>
      <c r="D239">
        <v>819</v>
      </c>
      <c r="E239">
        <v>1.1100000000000001</v>
      </c>
      <c r="F239">
        <v>41.8</v>
      </c>
      <c r="G239">
        <v>12.9</v>
      </c>
      <c r="H239">
        <v>2.2999999999999998</v>
      </c>
      <c r="I239">
        <v>11.6</v>
      </c>
    </row>
    <row r="240" spans="1:9">
      <c r="A240" s="1" t="s">
        <v>61</v>
      </c>
      <c r="B240" s="1">
        <v>2024</v>
      </c>
      <c r="C240" s="1" t="s">
        <v>38</v>
      </c>
      <c r="D240">
        <v>895</v>
      </c>
      <c r="E240">
        <v>1.1000000000000001</v>
      </c>
      <c r="F240">
        <v>43.9</v>
      </c>
      <c r="G240">
        <v>6</v>
      </c>
      <c r="H240">
        <v>2.2000000000000002</v>
      </c>
      <c r="I240">
        <v>7.4</v>
      </c>
    </row>
    <row r="241" spans="1:9">
      <c r="A241" s="1" t="s">
        <v>61</v>
      </c>
      <c r="B241" s="1">
        <v>2025</v>
      </c>
      <c r="C241" s="1" t="s">
        <v>38</v>
      </c>
    </row>
    <row r="242" spans="1:9">
      <c r="A242" s="1" t="s">
        <v>13</v>
      </c>
      <c r="B242" s="1">
        <v>2018</v>
      </c>
      <c r="C242" s="1" t="s">
        <v>39</v>
      </c>
      <c r="D242">
        <v>39</v>
      </c>
      <c r="E242">
        <v>0.89</v>
      </c>
      <c r="F242">
        <v>20.5</v>
      </c>
      <c r="G242">
        <v>28.3</v>
      </c>
      <c r="H242">
        <v>5.0999999999999996</v>
      </c>
      <c r="I242">
        <v>13</v>
      </c>
    </row>
    <row r="243" spans="1:9">
      <c r="A243" s="1" t="s">
        <v>13</v>
      </c>
      <c r="B243" s="1">
        <v>2019</v>
      </c>
      <c r="C243" s="1" t="s">
        <v>39</v>
      </c>
      <c r="D243">
        <v>41</v>
      </c>
      <c r="E243">
        <v>1.19</v>
      </c>
      <c r="F243">
        <v>29.3</v>
      </c>
      <c r="G243">
        <v>16.3</v>
      </c>
      <c r="H243">
        <v>7.3</v>
      </c>
      <c r="I243">
        <v>21.7</v>
      </c>
    </row>
    <row r="244" spans="1:9">
      <c r="A244" s="1" t="s">
        <v>13</v>
      </c>
      <c r="B244" s="1">
        <v>2020</v>
      </c>
      <c r="C244" s="1" t="s">
        <v>39</v>
      </c>
      <c r="D244">
        <v>61</v>
      </c>
      <c r="E244">
        <v>1.1499999999999999</v>
      </c>
      <c r="F244">
        <v>34.4</v>
      </c>
      <c r="G244">
        <v>43.9</v>
      </c>
      <c r="H244">
        <v>3.3</v>
      </c>
      <c r="I244">
        <v>16</v>
      </c>
    </row>
    <row r="245" spans="1:9">
      <c r="A245" s="1" t="s">
        <v>13</v>
      </c>
      <c r="B245" s="1">
        <v>2021</v>
      </c>
      <c r="C245" s="1" t="s">
        <v>39</v>
      </c>
      <c r="D245">
        <v>69</v>
      </c>
      <c r="E245">
        <v>0.82</v>
      </c>
      <c r="F245">
        <v>33.299999999999997</v>
      </c>
      <c r="G245">
        <v>16.600000000000001</v>
      </c>
      <c r="H245">
        <v>4.3</v>
      </c>
      <c r="I245">
        <v>27</v>
      </c>
    </row>
    <row r="246" spans="1:9">
      <c r="A246" s="1" t="s">
        <v>13</v>
      </c>
      <c r="B246" s="1">
        <v>2022</v>
      </c>
      <c r="C246" s="1" t="s">
        <v>39</v>
      </c>
      <c r="D246">
        <v>67</v>
      </c>
      <c r="E246">
        <v>0.87</v>
      </c>
      <c r="F246">
        <v>37.299999999999997</v>
      </c>
      <c r="G246">
        <v>10.9</v>
      </c>
      <c r="H246">
        <v>4.5</v>
      </c>
      <c r="I246">
        <v>24</v>
      </c>
    </row>
    <row r="247" spans="1:9">
      <c r="A247" s="1" t="s">
        <v>13</v>
      </c>
      <c r="B247" s="1">
        <v>2023</v>
      </c>
      <c r="C247" s="1" t="s">
        <v>39</v>
      </c>
      <c r="D247">
        <v>48</v>
      </c>
      <c r="E247">
        <v>1.37</v>
      </c>
      <c r="F247">
        <v>35.4</v>
      </c>
      <c r="G247">
        <v>10.8</v>
      </c>
      <c r="H247">
        <v>4.2</v>
      </c>
      <c r="I247">
        <v>9</v>
      </c>
    </row>
    <row r="248" spans="1:9">
      <c r="A248" s="1" t="s">
        <v>13</v>
      </c>
      <c r="B248" s="1">
        <v>2024</v>
      </c>
      <c r="C248" s="1" t="s">
        <v>39</v>
      </c>
      <c r="D248">
        <v>46</v>
      </c>
      <c r="E248">
        <v>0.82</v>
      </c>
      <c r="F248">
        <v>39.1</v>
      </c>
      <c r="G248">
        <v>3.9</v>
      </c>
      <c r="H248">
        <v>0</v>
      </c>
      <c r="I248" t="s">
        <v>20</v>
      </c>
    </row>
    <row r="249" spans="1:9">
      <c r="A249" s="1" t="s">
        <v>13</v>
      </c>
      <c r="B249" s="1">
        <v>2025</v>
      </c>
      <c r="C249" s="1" t="s">
        <v>39</v>
      </c>
    </row>
    <row r="250" spans="1:9">
      <c r="A250" s="1" t="s">
        <v>14</v>
      </c>
      <c r="B250" s="1">
        <v>2018</v>
      </c>
      <c r="C250" s="1" t="s">
        <v>39</v>
      </c>
      <c r="D250">
        <v>3</v>
      </c>
      <c r="E250">
        <v>0.72</v>
      </c>
      <c r="F250">
        <v>33.299999999999997</v>
      </c>
      <c r="G250">
        <v>61</v>
      </c>
      <c r="H250">
        <v>0</v>
      </c>
      <c r="I250" t="s">
        <v>20</v>
      </c>
    </row>
    <row r="251" spans="1:9">
      <c r="A251" s="1" t="s">
        <v>14</v>
      </c>
      <c r="B251" s="1">
        <v>2019</v>
      </c>
      <c r="C251" s="1" t="s">
        <v>39</v>
      </c>
      <c r="D251">
        <v>14</v>
      </c>
      <c r="E251">
        <v>0.46</v>
      </c>
      <c r="F251">
        <v>21.4</v>
      </c>
      <c r="G251">
        <v>4.3</v>
      </c>
      <c r="H251">
        <v>0</v>
      </c>
      <c r="I251" t="s">
        <v>20</v>
      </c>
    </row>
    <row r="252" spans="1:9">
      <c r="A252" s="1" t="s">
        <v>14</v>
      </c>
      <c r="B252" s="1">
        <v>2020</v>
      </c>
      <c r="C252" s="1" t="s">
        <v>39</v>
      </c>
      <c r="D252">
        <v>11</v>
      </c>
      <c r="E252">
        <v>0.69</v>
      </c>
      <c r="F252">
        <v>36.4</v>
      </c>
      <c r="G252">
        <v>11.5</v>
      </c>
      <c r="H252">
        <v>0</v>
      </c>
      <c r="I252" t="s">
        <v>20</v>
      </c>
    </row>
    <row r="253" spans="1:9">
      <c r="A253" s="1" t="s">
        <v>14</v>
      </c>
      <c r="B253" s="1">
        <v>2021</v>
      </c>
      <c r="C253" s="1" t="s">
        <v>39</v>
      </c>
      <c r="D253">
        <v>8</v>
      </c>
      <c r="E253">
        <v>0.7</v>
      </c>
      <c r="F253">
        <v>37.5</v>
      </c>
      <c r="G253">
        <v>19.7</v>
      </c>
      <c r="H253">
        <v>0</v>
      </c>
      <c r="I253" t="s">
        <v>20</v>
      </c>
    </row>
    <row r="254" spans="1:9">
      <c r="A254" s="1" t="s">
        <v>14</v>
      </c>
      <c r="B254" s="1">
        <v>2022</v>
      </c>
      <c r="C254" s="1" t="s">
        <v>39</v>
      </c>
      <c r="D254">
        <v>16</v>
      </c>
      <c r="E254">
        <v>0.63</v>
      </c>
      <c r="F254">
        <v>0</v>
      </c>
      <c r="G254">
        <v>0</v>
      </c>
      <c r="H254">
        <v>0</v>
      </c>
      <c r="I254" t="s">
        <v>20</v>
      </c>
    </row>
    <row r="255" spans="1:9">
      <c r="A255" s="1" t="s">
        <v>14</v>
      </c>
      <c r="B255" s="1">
        <v>2023</v>
      </c>
      <c r="C255" s="1" t="s">
        <v>39</v>
      </c>
      <c r="D255">
        <v>9</v>
      </c>
      <c r="E255">
        <v>1.4</v>
      </c>
      <c r="F255">
        <v>0</v>
      </c>
      <c r="G255">
        <v>0</v>
      </c>
      <c r="H255">
        <v>0</v>
      </c>
      <c r="I255" t="s">
        <v>20</v>
      </c>
    </row>
    <row r="256" spans="1:9">
      <c r="A256" s="1" t="s">
        <v>14</v>
      </c>
      <c r="B256" s="1">
        <v>2024</v>
      </c>
      <c r="C256" s="1" t="s">
        <v>39</v>
      </c>
      <c r="D256">
        <v>7</v>
      </c>
      <c r="E256">
        <v>2.42</v>
      </c>
      <c r="F256">
        <v>28.6</v>
      </c>
      <c r="G256">
        <v>3.5</v>
      </c>
      <c r="H256">
        <v>0</v>
      </c>
      <c r="I256" t="s">
        <v>20</v>
      </c>
    </row>
    <row r="257" spans="1:9">
      <c r="A257" s="1" t="s">
        <v>14</v>
      </c>
      <c r="B257" s="1">
        <v>2025</v>
      </c>
      <c r="C257" s="1" t="s">
        <v>39</v>
      </c>
    </row>
    <row r="258" spans="1:9">
      <c r="A258" s="1" t="s">
        <v>15</v>
      </c>
      <c r="B258" s="1">
        <v>2018</v>
      </c>
      <c r="C258" s="1" t="s">
        <v>39</v>
      </c>
      <c r="D258">
        <v>13</v>
      </c>
      <c r="E258">
        <v>0.85</v>
      </c>
      <c r="F258">
        <v>38.5</v>
      </c>
      <c r="G258">
        <v>31.6</v>
      </c>
      <c r="H258">
        <v>0</v>
      </c>
      <c r="I258" t="s">
        <v>20</v>
      </c>
    </row>
    <row r="259" spans="1:9">
      <c r="A259" s="1" t="s">
        <v>15</v>
      </c>
      <c r="B259" s="1">
        <v>2019</v>
      </c>
      <c r="C259" s="1" t="s">
        <v>39</v>
      </c>
      <c r="D259">
        <v>25</v>
      </c>
      <c r="E259">
        <v>1.5</v>
      </c>
      <c r="F259">
        <v>20</v>
      </c>
      <c r="G259">
        <v>30</v>
      </c>
      <c r="H259">
        <v>0</v>
      </c>
      <c r="I259" t="s">
        <v>20</v>
      </c>
    </row>
    <row r="260" spans="1:9">
      <c r="A260" s="1" t="s">
        <v>15</v>
      </c>
      <c r="B260" s="1">
        <v>2020</v>
      </c>
      <c r="C260" s="1" t="s">
        <v>39</v>
      </c>
      <c r="D260">
        <v>29</v>
      </c>
      <c r="E260">
        <v>1.98</v>
      </c>
      <c r="F260">
        <v>13.8</v>
      </c>
      <c r="G260">
        <v>7</v>
      </c>
      <c r="H260">
        <v>0</v>
      </c>
      <c r="I260" t="s">
        <v>20</v>
      </c>
    </row>
    <row r="261" spans="1:9">
      <c r="A261" s="1" t="s">
        <v>15</v>
      </c>
      <c r="B261" s="1">
        <v>2021</v>
      </c>
      <c r="C261" s="1" t="s">
        <v>39</v>
      </c>
      <c r="D261">
        <v>30</v>
      </c>
      <c r="E261">
        <v>0.93</v>
      </c>
      <c r="F261">
        <v>30</v>
      </c>
      <c r="G261">
        <v>19.600000000000001</v>
      </c>
      <c r="H261">
        <v>0</v>
      </c>
      <c r="I261" t="s">
        <v>20</v>
      </c>
    </row>
    <row r="262" spans="1:9">
      <c r="A262" s="1" t="s">
        <v>15</v>
      </c>
      <c r="B262" s="1">
        <v>2022</v>
      </c>
      <c r="C262" s="1" t="s">
        <v>39</v>
      </c>
      <c r="D262">
        <v>48</v>
      </c>
      <c r="E262">
        <v>1.07</v>
      </c>
      <c r="F262">
        <v>52.1</v>
      </c>
      <c r="G262">
        <v>11.8</v>
      </c>
      <c r="H262">
        <v>0</v>
      </c>
      <c r="I262" t="s">
        <v>20</v>
      </c>
    </row>
    <row r="263" spans="1:9">
      <c r="A263" s="1" t="s">
        <v>15</v>
      </c>
      <c r="B263" s="1">
        <v>2023</v>
      </c>
      <c r="C263" s="1" t="s">
        <v>39</v>
      </c>
      <c r="D263">
        <v>32</v>
      </c>
      <c r="E263">
        <v>0.75</v>
      </c>
      <c r="F263">
        <v>50</v>
      </c>
      <c r="G263">
        <v>4.5999999999999996</v>
      </c>
      <c r="H263">
        <v>0</v>
      </c>
      <c r="I263" t="s">
        <v>20</v>
      </c>
    </row>
    <row r="264" spans="1:9">
      <c r="A264" s="1" t="s">
        <v>15</v>
      </c>
      <c r="B264" s="1">
        <v>2024</v>
      </c>
      <c r="C264" s="1" t="s">
        <v>39</v>
      </c>
      <c r="D264">
        <v>28</v>
      </c>
      <c r="E264">
        <v>0.56999999999999995</v>
      </c>
      <c r="F264">
        <v>32.1</v>
      </c>
      <c r="G264">
        <v>1.6</v>
      </c>
      <c r="H264">
        <v>0</v>
      </c>
      <c r="I264" t="s">
        <v>20</v>
      </c>
    </row>
    <row r="265" spans="1:9">
      <c r="A265" s="1" t="s">
        <v>15</v>
      </c>
      <c r="B265" s="1">
        <v>2025</v>
      </c>
      <c r="C265" s="1" t="s">
        <v>39</v>
      </c>
    </row>
    <row r="266" spans="1:9">
      <c r="A266" s="1" t="s">
        <v>16</v>
      </c>
      <c r="B266" s="1">
        <v>2018</v>
      </c>
      <c r="C266" s="1" t="s">
        <v>39</v>
      </c>
      <c r="D266">
        <v>45</v>
      </c>
      <c r="E266">
        <v>0.92</v>
      </c>
      <c r="F266">
        <v>28.9</v>
      </c>
      <c r="G266">
        <v>10.8</v>
      </c>
      <c r="H266">
        <v>2.2000000000000002</v>
      </c>
      <c r="I266">
        <v>1</v>
      </c>
    </row>
    <row r="267" spans="1:9">
      <c r="A267" s="1" t="s">
        <v>16</v>
      </c>
      <c r="B267" s="1">
        <v>2019</v>
      </c>
      <c r="C267" s="1" t="s">
        <v>39</v>
      </c>
      <c r="D267">
        <v>40</v>
      </c>
      <c r="E267">
        <v>0.92</v>
      </c>
      <c r="F267">
        <v>25</v>
      </c>
      <c r="G267">
        <v>25.6</v>
      </c>
      <c r="H267">
        <v>5</v>
      </c>
      <c r="I267">
        <v>5</v>
      </c>
    </row>
    <row r="268" spans="1:9">
      <c r="A268" s="1" t="s">
        <v>16</v>
      </c>
      <c r="B268" s="1">
        <v>2020</v>
      </c>
      <c r="C268" s="1" t="s">
        <v>39</v>
      </c>
      <c r="D268">
        <v>69</v>
      </c>
      <c r="E268">
        <v>0.9</v>
      </c>
      <c r="F268">
        <v>39.1</v>
      </c>
      <c r="G268">
        <v>23.7</v>
      </c>
      <c r="H268">
        <v>1.4</v>
      </c>
      <c r="I268" t="s">
        <v>20</v>
      </c>
    </row>
    <row r="269" spans="1:9">
      <c r="A269" s="1" t="s">
        <v>16</v>
      </c>
      <c r="B269" s="1">
        <v>2021</v>
      </c>
      <c r="C269" s="1" t="s">
        <v>39</v>
      </c>
      <c r="D269">
        <v>70</v>
      </c>
      <c r="E269">
        <v>1.05</v>
      </c>
      <c r="F269">
        <v>35.700000000000003</v>
      </c>
      <c r="G269">
        <v>33.4</v>
      </c>
      <c r="H269">
        <v>0</v>
      </c>
      <c r="I269" t="s">
        <v>20</v>
      </c>
    </row>
    <row r="270" spans="1:9">
      <c r="A270" s="1" t="s">
        <v>16</v>
      </c>
      <c r="B270" s="1">
        <v>2022</v>
      </c>
      <c r="C270" s="1" t="s">
        <v>39</v>
      </c>
      <c r="D270">
        <v>83</v>
      </c>
      <c r="E270">
        <v>0.85</v>
      </c>
      <c r="F270">
        <v>26.5</v>
      </c>
      <c r="G270">
        <v>19.899999999999999</v>
      </c>
      <c r="H270">
        <v>3.6</v>
      </c>
      <c r="I270">
        <v>7.3</v>
      </c>
    </row>
    <row r="271" spans="1:9">
      <c r="A271" s="1" t="s">
        <v>16</v>
      </c>
      <c r="B271" s="1">
        <v>2023</v>
      </c>
      <c r="C271" s="1" t="s">
        <v>39</v>
      </c>
      <c r="D271">
        <v>72</v>
      </c>
      <c r="E271">
        <v>1.17</v>
      </c>
      <c r="F271">
        <v>34.700000000000003</v>
      </c>
      <c r="G271">
        <v>14.4</v>
      </c>
      <c r="H271">
        <v>5.6</v>
      </c>
      <c r="I271">
        <v>10</v>
      </c>
    </row>
    <row r="272" spans="1:9">
      <c r="A272" s="1" t="s">
        <v>16</v>
      </c>
      <c r="B272" s="1">
        <v>2024</v>
      </c>
      <c r="C272" s="1" t="s">
        <v>39</v>
      </c>
      <c r="D272">
        <v>73</v>
      </c>
      <c r="E272">
        <v>2.39</v>
      </c>
      <c r="F272">
        <v>35.6</v>
      </c>
      <c r="G272">
        <v>9.3000000000000007</v>
      </c>
      <c r="H272">
        <v>1.4</v>
      </c>
      <c r="I272">
        <v>4</v>
      </c>
    </row>
    <row r="273" spans="1:9">
      <c r="A273" s="1" t="s">
        <v>16</v>
      </c>
      <c r="B273" s="1">
        <v>2025</v>
      </c>
      <c r="C273" s="1" t="s">
        <v>39</v>
      </c>
    </row>
    <row r="274" spans="1:9">
      <c r="A274" s="1" t="s">
        <v>17</v>
      </c>
      <c r="B274" s="1">
        <v>2018</v>
      </c>
      <c r="C274" s="1" t="s">
        <v>39</v>
      </c>
      <c r="D274">
        <v>36</v>
      </c>
      <c r="E274">
        <v>0.75</v>
      </c>
      <c r="F274">
        <v>22.2</v>
      </c>
      <c r="G274">
        <v>18.600000000000001</v>
      </c>
      <c r="H274">
        <v>2.8</v>
      </c>
      <c r="I274">
        <v>10</v>
      </c>
    </row>
    <row r="275" spans="1:9">
      <c r="A275" s="1" t="s">
        <v>17</v>
      </c>
      <c r="B275" s="1">
        <v>2019</v>
      </c>
      <c r="C275" s="1" t="s">
        <v>39</v>
      </c>
      <c r="D275">
        <v>54</v>
      </c>
      <c r="E275">
        <v>1.1399999999999999</v>
      </c>
      <c r="F275">
        <v>31.5</v>
      </c>
      <c r="G275">
        <v>22.9</v>
      </c>
      <c r="H275">
        <v>0</v>
      </c>
      <c r="I275" t="s">
        <v>20</v>
      </c>
    </row>
    <row r="276" spans="1:9">
      <c r="A276" s="1" t="s">
        <v>17</v>
      </c>
      <c r="B276" s="1">
        <v>2020</v>
      </c>
      <c r="C276" s="1" t="s">
        <v>39</v>
      </c>
      <c r="D276">
        <v>43</v>
      </c>
      <c r="E276">
        <v>0.8</v>
      </c>
      <c r="F276">
        <v>44.2</v>
      </c>
      <c r="G276">
        <v>25.9</v>
      </c>
      <c r="H276">
        <v>0</v>
      </c>
      <c r="I276" t="s">
        <v>20</v>
      </c>
    </row>
    <row r="277" spans="1:9">
      <c r="A277" s="1" t="s">
        <v>17</v>
      </c>
      <c r="B277" s="1">
        <v>2021</v>
      </c>
      <c r="C277" s="1" t="s">
        <v>39</v>
      </c>
      <c r="D277">
        <v>61</v>
      </c>
      <c r="E277">
        <v>1.1399999999999999</v>
      </c>
      <c r="F277">
        <v>49.2</v>
      </c>
      <c r="G277">
        <v>27.7</v>
      </c>
      <c r="H277">
        <v>0</v>
      </c>
      <c r="I277" t="s">
        <v>20</v>
      </c>
    </row>
    <row r="278" spans="1:9">
      <c r="A278" s="1" t="s">
        <v>17</v>
      </c>
      <c r="B278" s="1">
        <v>2022</v>
      </c>
      <c r="C278" s="1" t="s">
        <v>39</v>
      </c>
      <c r="D278">
        <v>76</v>
      </c>
      <c r="E278">
        <v>1.32</v>
      </c>
      <c r="F278">
        <v>40.799999999999997</v>
      </c>
      <c r="G278">
        <v>17</v>
      </c>
      <c r="H278">
        <v>0</v>
      </c>
      <c r="I278" t="s">
        <v>20</v>
      </c>
    </row>
    <row r="279" spans="1:9">
      <c r="A279" s="1" t="s">
        <v>17</v>
      </c>
      <c r="B279" s="1">
        <v>2023</v>
      </c>
      <c r="C279" s="1" t="s">
        <v>39</v>
      </c>
      <c r="D279">
        <v>63</v>
      </c>
      <c r="E279">
        <v>1.32</v>
      </c>
      <c r="F279">
        <v>42.9</v>
      </c>
      <c r="G279">
        <v>14.6</v>
      </c>
      <c r="H279">
        <v>0</v>
      </c>
      <c r="I279" t="s">
        <v>20</v>
      </c>
    </row>
    <row r="280" spans="1:9">
      <c r="A280" s="1" t="s">
        <v>17</v>
      </c>
      <c r="B280" s="1">
        <v>2024</v>
      </c>
      <c r="C280" s="1" t="s">
        <v>39</v>
      </c>
      <c r="D280">
        <v>47</v>
      </c>
      <c r="E280">
        <v>2.5499999999999998</v>
      </c>
      <c r="F280">
        <v>46.8</v>
      </c>
      <c r="G280">
        <v>6.2</v>
      </c>
      <c r="H280">
        <v>0</v>
      </c>
      <c r="I280" t="s">
        <v>20</v>
      </c>
    </row>
    <row r="281" spans="1:9">
      <c r="A281" s="1" t="s">
        <v>17</v>
      </c>
      <c r="B281" s="1">
        <v>2025</v>
      </c>
      <c r="C281" s="1" t="s">
        <v>39</v>
      </c>
    </row>
    <row r="282" spans="1:9">
      <c r="A282" s="1" t="s">
        <v>61</v>
      </c>
      <c r="B282" s="1">
        <v>2018</v>
      </c>
      <c r="C282" s="1" t="s">
        <v>39</v>
      </c>
      <c r="D282">
        <v>48</v>
      </c>
      <c r="E282">
        <v>2.02</v>
      </c>
      <c r="F282">
        <v>25</v>
      </c>
      <c r="G282">
        <v>101.2</v>
      </c>
      <c r="H282">
        <v>0</v>
      </c>
      <c r="I282" t="s">
        <v>20</v>
      </c>
    </row>
    <row r="283" spans="1:9">
      <c r="A283" s="1" t="s">
        <v>61</v>
      </c>
      <c r="B283" s="1">
        <v>2019</v>
      </c>
      <c r="C283" s="1" t="s">
        <v>39</v>
      </c>
      <c r="D283">
        <v>62</v>
      </c>
      <c r="E283">
        <v>1.1200000000000001</v>
      </c>
      <c r="F283">
        <v>35.5</v>
      </c>
      <c r="G283">
        <v>30</v>
      </c>
      <c r="H283">
        <v>0</v>
      </c>
      <c r="I283" t="s">
        <v>20</v>
      </c>
    </row>
    <row r="284" spans="1:9">
      <c r="A284" s="1" t="s">
        <v>61</v>
      </c>
      <c r="B284" s="1">
        <v>2020</v>
      </c>
      <c r="C284" s="1" t="s">
        <v>39</v>
      </c>
      <c r="D284">
        <v>60</v>
      </c>
      <c r="E284">
        <v>1.02</v>
      </c>
      <c r="F284">
        <v>36.700000000000003</v>
      </c>
      <c r="G284">
        <v>18.600000000000001</v>
      </c>
      <c r="H284">
        <v>0</v>
      </c>
      <c r="I284" t="s">
        <v>20</v>
      </c>
    </row>
    <row r="285" spans="1:9">
      <c r="A285" s="1" t="s">
        <v>61</v>
      </c>
      <c r="B285" s="1">
        <v>2021</v>
      </c>
      <c r="C285" s="1" t="s">
        <v>39</v>
      </c>
      <c r="D285">
        <v>65</v>
      </c>
      <c r="E285">
        <v>1.2</v>
      </c>
      <c r="F285">
        <v>33.799999999999997</v>
      </c>
      <c r="G285">
        <v>25.9</v>
      </c>
      <c r="H285">
        <v>1.5</v>
      </c>
      <c r="I285">
        <v>8</v>
      </c>
    </row>
    <row r="286" spans="1:9">
      <c r="A286" s="1" t="s">
        <v>61</v>
      </c>
      <c r="B286" s="1">
        <v>2022</v>
      </c>
      <c r="C286" s="1" t="s">
        <v>39</v>
      </c>
      <c r="D286">
        <v>82</v>
      </c>
      <c r="E286">
        <v>0.98</v>
      </c>
      <c r="F286">
        <v>32.9</v>
      </c>
      <c r="G286">
        <v>14.2</v>
      </c>
      <c r="H286">
        <v>0</v>
      </c>
      <c r="I286" t="s">
        <v>20</v>
      </c>
    </row>
    <row r="287" spans="1:9">
      <c r="A287" s="1" t="s">
        <v>61</v>
      </c>
      <c r="B287" s="1">
        <v>2023</v>
      </c>
      <c r="C287" s="1" t="s">
        <v>39</v>
      </c>
      <c r="D287">
        <v>81</v>
      </c>
      <c r="E287">
        <v>1.47</v>
      </c>
      <c r="F287">
        <v>34.6</v>
      </c>
      <c r="G287">
        <v>10.1</v>
      </c>
      <c r="H287">
        <v>0</v>
      </c>
      <c r="I287" t="s">
        <v>20</v>
      </c>
    </row>
    <row r="288" spans="1:9">
      <c r="A288" s="1" t="s">
        <v>61</v>
      </c>
      <c r="B288" s="1">
        <v>2024</v>
      </c>
      <c r="C288" s="1" t="s">
        <v>39</v>
      </c>
      <c r="D288">
        <v>74</v>
      </c>
      <c r="E288">
        <v>0.9</v>
      </c>
      <c r="F288">
        <v>27</v>
      </c>
      <c r="G288">
        <v>2.1</v>
      </c>
      <c r="H288">
        <v>0</v>
      </c>
      <c r="I288" t="s">
        <v>20</v>
      </c>
    </row>
    <row r="289" spans="1:3">
      <c r="A289" s="1" t="s">
        <v>61</v>
      </c>
      <c r="B289" s="1">
        <v>2025</v>
      </c>
      <c r="C289" s="1" t="s">
        <v>39</v>
      </c>
    </row>
  </sheetData>
  <autoFilter ref="A1:I1" xr:uid="{80358242-D0A4-423E-A4DF-FFB2194CE0AE}">
    <sortState ref="A2:I289">
      <sortCondition ref="C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1431-26B2-4AE0-8028-D65E5DA96997}">
  <dimension ref="A1:I211"/>
  <sheetViews>
    <sheetView workbookViewId="0">
      <pane ySplit="1" topLeftCell="A2" activePane="bottomLeft" state="frozen"/>
      <selection pane="bottomLeft" activeCell="C7" sqref="C7"/>
    </sheetView>
  </sheetViews>
  <sheetFormatPr defaultColWidth="8.8984375" defaultRowHeight="15.6"/>
  <cols>
    <col min="1" max="2" width="8.8984375" style="1"/>
    <col min="3" max="3" width="27.8984375" style="1" bestFit="1" customWidth="1"/>
    <col min="4" max="4" width="13.3984375" style="16" customWidth="1"/>
    <col min="5" max="5" width="15.296875" style="16" customWidth="1"/>
    <col min="6" max="6" width="22.19921875" style="16" customWidth="1"/>
    <col min="7" max="7" width="20.8984375" style="16" customWidth="1"/>
    <col min="8" max="8" width="22.19921875" style="16" customWidth="1"/>
    <col min="9" max="9" width="24.8984375" style="16" customWidth="1"/>
    <col min="10" max="16384" width="8.8984375" style="1"/>
  </cols>
  <sheetData>
    <row r="1" spans="1:9">
      <c r="A1" s="1" t="s">
        <v>0</v>
      </c>
      <c r="B1" s="1" t="s">
        <v>1</v>
      </c>
      <c r="C1" s="1" t="s">
        <v>18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>
      <c r="A2" s="1" t="s">
        <v>13</v>
      </c>
      <c r="B2" s="1">
        <v>2018</v>
      </c>
      <c r="C2" s="1" t="s">
        <v>19</v>
      </c>
      <c r="D2">
        <v>13</v>
      </c>
      <c r="E2">
        <v>1.0900000000000001</v>
      </c>
      <c r="F2">
        <v>46.2</v>
      </c>
      <c r="G2">
        <v>30.3</v>
      </c>
      <c r="H2">
        <v>0</v>
      </c>
      <c r="I2" t="s">
        <v>20</v>
      </c>
    </row>
    <row r="3" spans="1:9">
      <c r="A3" s="1" t="s">
        <v>13</v>
      </c>
      <c r="B3" s="1">
        <v>2019</v>
      </c>
      <c r="C3" s="1" t="s">
        <v>19</v>
      </c>
      <c r="D3">
        <v>17</v>
      </c>
      <c r="E3">
        <v>0.99</v>
      </c>
      <c r="F3">
        <v>17.600000000000001</v>
      </c>
      <c r="G3">
        <v>13.3</v>
      </c>
      <c r="H3">
        <v>0</v>
      </c>
      <c r="I3" t="s">
        <v>20</v>
      </c>
    </row>
    <row r="4" spans="1:9">
      <c r="A4" s="1" t="s">
        <v>13</v>
      </c>
      <c r="B4" s="1">
        <v>2020</v>
      </c>
      <c r="C4" s="1" t="s">
        <v>19</v>
      </c>
      <c r="D4">
        <v>14</v>
      </c>
      <c r="E4">
        <v>1.64</v>
      </c>
      <c r="F4">
        <v>42.9</v>
      </c>
      <c r="G4">
        <v>32.200000000000003</v>
      </c>
      <c r="H4">
        <v>14.3</v>
      </c>
      <c r="I4">
        <v>26.5</v>
      </c>
    </row>
    <row r="5" spans="1:9">
      <c r="A5" s="1" t="s">
        <v>13</v>
      </c>
      <c r="B5" s="1">
        <v>2021</v>
      </c>
      <c r="C5" s="1" t="s">
        <v>19</v>
      </c>
      <c r="D5">
        <v>16</v>
      </c>
      <c r="E5">
        <v>1.72</v>
      </c>
      <c r="F5">
        <v>25</v>
      </c>
      <c r="G5">
        <v>16.5</v>
      </c>
      <c r="H5">
        <v>6.3</v>
      </c>
      <c r="I5">
        <v>27</v>
      </c>
    </row>
    <row r="6" spans="1:9">
      <c r="A6" s="1" t="s">
        <v>13</v>
      </c>
      <c r="B6" s="1">
        <v>2022</v>
      </c>
      <c r="C6" s="1" t="s">
        <v>19</v>
      </c>
      <c r="D6">
        <v>16</v>
      </c>
      <c r="E6">
        <v>1.38</v>
      </c>
      <c r="F6">
        <v>43.8</v>
      </c>
      <c r="G6">
        <v>14.9</v>
      </c>
      <c r="H6">
        <v>0</v>
      </c>
      <c r="I6" t="s">
        <v>20</v>
      </c>
    </row>
    <row r="7" spans="1:9">
      <c r="A7" s="1" t="s">
        <v>13</v>
      </c>
      <c r="B7" s="1">
        <v>2023</v>
      </c>
      <c r="C7" s="1" t="s">
        <v>19</v>
      </c>
      <c r="D7">
        <v>39</v>
      </c>
      <c r="E7">
        <v>1.2</v>
      </c>
      <c r="F7">
        <v>35.9</v>
      </c>
      <c r="G7">
        <v>8.1</v>
      </c>
      <c r="H7">
        <v>0</v>
      </c>
      <c r="I7" t="s">
        <v>20</v>
      </c>
    </row>
    <row r="8" spans="1:9">
      <c r="A8" s="1" t="s">
        <v>13</v>
      </c>
      <c r="B8" s="1">
        <v>2024</v>
      </c>
      <c r="C8" s="1" t="s">
        <v>19</v>
      </c>
      <c r="D8">
        <v>25</v>
      </c>
      <c r="E8">
        <v>1.1599999999999999</v>
      </c>
      <c r="F8">
        <v>32</v>
      </c>
      <c r="G8">
        <v>1.9</v>
      </c>
      <c r="H8">
        <v>4</v>
      </c>
      <c r="I8">
        <v>4</v>
      </c>
    </row>
    <row r="9" spans="1:9">
      <c r="A9" s="1" t="s">
        <v>14</v>
      </c>
      <c r="B9" s="1">
        <v>2018</v>
      </c>
      <c r="C9" s="1" t="s">
        <v>19</v>
      </c>
      <c r="D9">
        <v>2</v>
      </c>
      <c r="E9">
        <v>0.39</v>
      </c>
      <c r="F9">
        <v>0</v>
      </c>
      <c r="G9">
        <v>0</v>
      </c>
      <c r="H9">
        <v>0</v>
      </c>
      <c r="I9" t="s">
        <v>20</v>
      </c>
    </row>
    <row r="10" spans="1:9">
      <c r="A10" s="1" t="s">
        <v>14</v>
      </c>
      <c r="B10" s="1">
        <v>2019</v>
      </c>
      <c r="C10" s="1" t="s">
        <v>19</v>
      </c>
      <c r="D10">
        <v>2</v>
      </c>
      <c r="E10">
        <v>0.49</v>
      </c>
      <c r="F10">
        <v>0</v>
      </c>
      <c r="G10">
        <v>0</v>
      </c>
      <c r="H10">
        <v>0</v>
      </c>
      <c r="I10" t="s">
        <v>20</v>
      </c>
    </row>
    <row r="11" spans="1:9">
      <c r="A11" s="1" t="s">
        <v>14</v>
      </c>
      <c r="B11" s="1">
        <v>2020</v>
      </c>
      <c r="C11" s="1" t="s">
        <v>19</v>
      </c>
      <c r="D11">
        <v>3</v>
      </c>
      <c r="E11">
        <v>0.12</v>
      </c>
      <c r="F11">
        <v>0</v>
      </c>
      <c r="G11">
        <v>0</v>
      </c>
      <c r="H11">
        <v>0</v>
      </c>
      <c r="I11" t="s">
        <v>20</v>
      </c>
    </row>
    <row r="12" spans="1:9">
      <c r="A12" s="1" t="s">
        <v>14</v>
      </c>
      <c r="B12" s="1">
        <v>2021</v>
      </c>
      <c r="C12" s="1" t="s">
        <v>19</v>
      </c>
      <c r="D12">
        <v>1</v>
      </c>
      <c r="E12">
        <v>9.4499999999999993</v>
      </c>
      <c r="F12">
        <v>0</v>
      </c>
      <c r="G12">
        <v>0</v>
      </c>
      <c r="H12">
        <v>0</v>
      </c>
      <c r="I12" t="s">
        <v>20</v>
      </c>
    </row>
    <row r="13" spans="1:9">
      <c r="A13" s="1" t="s">
        <v>14</v>
      </c>
      <c r="B13" s="1">
        <v>2022</v>
      </c>
      <c r="C13" s="1" t="s">
        <v>19</v>
      </c>
      <c r="D13">
        <v>1</v>
      </c>
      <c r="E13">
        <v>0.66</v>
      </c>
      <c r="F13">
        <v>100</v>
      </c>
      <c r="G13">
        <v>7</v>
      </c>
      <c r="H13">
        <v>0</v>
      </c>
      <c r="I13" t="s">
        <v>20</v>
      </c>
    </row>
    <row r="14" spans="1:9">
      <c r="A14" s="1" t="s">
        <v>14</v>
      </c>
      <c r="B14" s="1">
        <v>2023</v>
      </c>
      <c r="C14" s="1" t="s">
        <v>19</v>
      </c>
      <c r="D14">
        <v>4</v>
      </c>
      <c r="E14">
        <v>3.22</v>
      </c>
      <c r="F14">
        <v>25</v>
      </c>
      <c r="G14">
        <v>5</v>
      </c>
      <c r="H14">
        <v>0</v>
      </c>
      <c r="I14" t="s">
        <v>20</v>
      </c>
    </row>
    <row r="15" spans="1:9">
      <c r="A15" s="1" t="s">
        <v>14</v>
      </c>
      <c r="B15" s="1">
        <v>2024</v>
      </c>
      <c r="C15" s="1" t="s">
        <v>19</v>
      </c>
      <c r="D15">
        <v>1</v>
      </c>
      <c r="E15">
        <v>5.78</v>
      </c>
      <c r="F15">
        <v>100</v>
      </c>
      <c r="G15">
        <v>4</v>
      </c>
      <c r="H15">
        <v>0</v>
      </c>
      <c r="I15" t="s">
        <v>20</v>
      </c>
    </row>
    <row r="16" spans="1:9">
      <c r="A16" s="1" t="s">
        <v>15</v>
      </c>
      <c r="B16" s="1">
        <v>2018</v>
      </c>
      <c r="C16" s="1" t="s">
        <v>19</v>
      </c>
      <c r="D16">
        <v>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</row>
    <row r="17" spans="1:9">
      <c r="A17" s="1" t="s">
        <v>15</v>
      </c>
      <c r="B17" s="1">
        <v>2019</v>
      </c>
      <c r="C17" s="1" t="s">
        <v>19</v>
      </c>
      <c r="D17">
        <v>2</v>
      </c>
      <c r="E17">
        <v>2.25</v>
      </c>
      <c r="F17">
        <v>50</v>
      </c>
      <c r="G17">
        <v>0</v>
      </c>
      <c r="H17">
        <v>0</v>
      </c>
      <c r="I17" t="s">
        <v>20</v>
      </c>
    </row>
    <row r="18" spans="1:9">
      <c r="A18" s="1" t="s">
        <v>15</v>
      </c>
      <c r="B18" s="1">
        <v>2020</v>
      </c>
      <c r="C18" s="1" t="s">
        <v>19</v>
      </c>
      <c r="D18">
        <v>6</v>
      </c>
      <c r="E18">
        <v>5.42</v>
      </c>
      <c r="F18">
        <v>16.7</v>
      </c>
      <c r="G18">
        <v>8</v>
      </c>
      <c r="H18">
        <v>0</v>
      </c>
      <c r="I18" t="s">
        <v>20</v>
      </c>
    </row>
    <row r="19" spans="1:9">
      <c r="A19" s="1" t="s">
        <v>15</v>
      </c>
      <c r="B19" s="1">
        <v>2021</v>
      </c>
      <c r="C19" s="1" t="s">
        <v>19</v>
      </c>
      <c r="D19">
        <v>1</v>
      </c>
      <c r="E19">
        <v>1.1499999999999999</v>
      </c>
      <c r="F19">
        <v>0</v>
      </c>
      <c r="G19">
        <v>0</v>
      </c>
      <c r="H19">
        <v>0</v>
      </c>
      <c r="I19" t="s">
        <v>20</v>
      </c>
    </row>
    <row r="20" spans="1:9">
      <c r="A20" s="1" t="s">
        <v>15</v>
      </c>
      <c r="B20" s="1">
        <v>2022</v>
      </c>
      <c r="C20" s="1" t="s">
        <v>19</v>
      </c>
      <c r="D20">
        <v>4</v>
      </c>
      <c r="E20">
        <v>1.03</v>
      </c>
      <c r="F20">
        <v>25</v>
      </c>
      <c r="G20">
        <v>7</v>
      </c>
      <c r="H20">
        <v>0</v>
      </c>
      <c r="I20" t="s">
        <v>20</v>
      </c>
    </row>
    <row r="21" spans="1:9">
      <c r="A21" s="1" t="s">
        <v>15</v>
      </c>
      <c r="B21" s="1">
        <v>2023</v>
      </c>
      <c r="C21" s="1" t="s">
        <v>19</v>
      </c>
      <c r="D21">
        <v>2</v>
      </c>
      <c r="E21">
        <v>1.41</v>
      </c>
      <c r="F21">
        <v>50</v>
      </c>
      <c r="G21">
        <v>2</v>
      </c>
      <c r="H21">
        <v>0</v>
      </c>
      <c r="I21" t="s">
        <v>20</v>
      </c>
    </row>
    <row r="22" spans="1:9">
      <c r="A22" s="1" t="s">
        <v>15</v>
      </c>
      <c r="B22" s="1">
        <v>2024</v>
      </c>
      <c r="C22" s="1" t="s">
        <v>19</v>
      </c>
      <c r="D22">
        <v>4</v>
      </c>
      <c r="E22">
        <v>0.56000000000000005</v>
      </c>
      <c r="F22">
        <v>50</v>
      </c>
      <c r="G22">
        <v>1.5</v>
      </c>
      <c r="H22">
        <v>0</v>
      </c>
      <c r="I22" t="s">
        <v>20</v>
      </c>
    </row>
    <row r="23" spans="1:9">
      <c r="A23" s="1" t="s">
        <v>16</v>
      </c>
      <c r="B23" s="1">
        <v>2018</v>
      </c>
      <c r="C23" s="1" t="s">
        <v>19</v>
      </c>
      <c r="D23">
        <v>7</v>
      </c>
      <c r="E23">
        <v>1.58</v>
      </c>
      <c r="F23">
        <v>14.3</v>
      </c>
      <c r="G23">
        <v>34</v>
      </c>
      <c r="H23">
        <v>0</v>
      </c>
      <c r="I23" t="s">
        <v>20</v>
      </c>
    </row>
    <row r="24" spans="1:9">
      <c r="A24" s="1" t="s">
        <v>16</v>
      </c>
      <c r="B24" s="1">
        <v>2019</v>
      </c>
      <c r="C24" s="1" t="s">
        <v>19</v>
      </c>
      <c r="D24">
        <v>14</v>
      </c>
      <c r="E24">
        <v>2.79</v>
      </c>
      <c r="F24">
        <v>21.4</v>
      </c>
      <c r="G24">
        <v>27</v>
      </c>
      <c r="H24">
        <v>0</v>
      </c>
      <c r="I24" t="s">
        <v>20</v>
      </c>
    </row>
    <row r="25" spans="1:9">
      <c r="A25" s="1" t="s">
        <v>16</v>
      </c>
      <c r="B25" s="1">
        <v>2020</v>
      </c>
      <c r="C25" s="1" t="s">
        <v>19</v>
      </c>
      <c r="D25">
        <v>8</v>
      </c>
      <c r="E25">
        <v>0.13</v>
      </c>
      <c r="F25">
        <v>25</v>
      </c>
      <c r="G25">
        <v>2</v>
      </c>
      <c r="H25">
        <v>0</v>
      </c>
      <c r="I25" t="s">
        <v>20</v>
      </c>
    </row>
    <row r="26" spans="1:9">
      <c r="A26" s="1" t="s">
        <v>16</v>
      </c>
      <c r="B26" s="1">
        <v>2021</v>
      </c>
      <c r="C26" s="1" t="s">
        <v>19</v>
      </c>
      <c r="D26">
        <v>7</v>
      </c>
      <c r="E26">
        <v>1.53</v>
      </c>
      <c r="F26">
        <v>57.1</v>
      </c>
      <c r="G26">
        <v>11.3</v>
      </c>
      <c r="H26">
        <v>14.3</v>
      </c>
      <c r="I26">
        <v>1</v>
      </c>
    </row>
    <row r="27" spans="1:9">
      <c r="A27" s="1" t="s">
        <v>16</v>
      </c>
      <c r="B27" s="1">
        <v>2022</v>
      </c>
      <c r="C27" s="1" t="s">
        <v>19</v>
      </c>
      <c r="D27">
        <v>11</v>
      </c>
      <c r="E27">
        <v>3.67</v>
      </c>
      <c r="F27">
        <v>27.3</v>
      </c>
      <c r="G27">
        <v>1.3</v>
      </c>
      <c r="H27">
        <v>0</v>
      </c>
      <c r="I27" t="s">
        <v>20</v>
      </c>
    </row>
    <row r="28" spans="1:9">
      <c r="A28" s="1" t="s">
        <v>16</v>
      </c>
      <c r="B28" s="1">
        <v>2023</v>
      </c>
      <c r="C28" s="1" t="s">
        <v>19</v>
      </c>
      <c r="D28">
        <v>27</v>
      </c>
      <c r="E28">
        <v>1.6</v>
      </c>
      <c r="F28">
        <v>25.9</v>
      </c>
      <c r="G28">
        <v>10.3</v>
      </c>
      <c r="H28">
        <v>7.4</v>
      </c>
      <c r="I28">
        <v>1.5</v>
      </c>
    </row>
    <row r="29" spans="1:9">
      <c r="A29" s="1" t="s">
        <v>16</v>
      </c>
      <c r="B29" s="1">
        <v>2024</v>
      </c>
      <c r="C29" s="1" t="s">
        <v>19</v>
      </c>
      <c r="D29">
        <v>29</v>
      </c>
      <c r="E29">
        <v>4.1399999999999997</v>
      </c>
      <c r="F29">
        <v>44.8</v>
      </c>
      <c r="G29">
        <v>8.8000000000000007</v>
      </c>
      <c r="H29">
        <v>3.4</v>
      </c>
      <c r="I29">
        <v>6</v>
      </c>
    </row>
    <row r="30" spans="1:9">
      <c r="A30" s="1" t="s">
        <v>17</v>
      </c>
      <c r="B30" s="1">
        <v>2018</v>
      </c>
      <c r="C30" s="1" t="s">
        <v>19</v>
      </c>
      <c r="D30">
        <v>8</v>
      </c>
      <c r="E30">
        <v>1.24</v>
      </c>
      <c r="F30">
        <v>0</v>
      </c>
      <c r="G30">
        <v>0</v>
      </c>
      <c r="H30">
        <v>0</v>
      </c>
      <c r="I30" t="s">
        <v>20</v>
      </c>
    </row>
    <row r="31" spans="1:9">
      <c r="A31" s="1" t="s">
        <v>17</v>
      </c>
      <c r="B31" s="1">
        <v>2019</v>
      </c>
      <c r="C31" s="1" t="s">
        <v>19</v>
      </c>
      <c r="D31">
        <v>14</v>
      </c>
      <c r="E31">
        <v>0.83</v>
      </c>
      <c r="F31">
        <v>28.6</v>
      </c>
      <c r="G31">
        <v>4.5</v>
      </c>
      <c r="H31">
        <v>0</v>
      </c>
      <c r="I31" t="s">
        <v>20</v>
      </c>
    </row>
    <row r="32" spans="1:9">
      <c r="A32" s="1" t="s">
        <v>17</v>
      </c>
      <c r="B32" s="1">
        <v>2020</v>
      </c>
      <c r="C32" s="1" t="s">
        <v>19</v>
      </c>
      <c r="D32">
        <v>19</v>
      </c>
      <c r="E32">
        <v>1.33</v>
      </c>
      <c r="F32">
        <v>36.799999999999997</v>
      </c>
      <c r="G32">
        <v>22.7</v>
      </c>
      <c r="H32">
        <v>0</v>
      </c>
      <c r="I32" t="s">
        <v>20</v>
      </c>
    </row>
    <row r="33" spans="1:9">
      <c r="A33" s="1" t="s">
        <v>17</v>
      </c>
      <c r="B33" s="1">
        <v>2021</v>
      </c>
      <c r="C33" s="1" t="s">
        <v>19</v>
      </c>
      <c r="D33">
        <v>14</v>
      </c>
      <c r="E33">
        <v>3.15</v>
      </c>
      <c r="F33">
        <v>42.9</v>
      </c>
      <c r="G33">
        <v>52.3</v>
      </c>
      <c r="H33">
        <v>0</v>
      </c>
      <c r="I33" t="s">
        <v>20</v>
      </c>
    </row>
    <row r="34" spans="1:9">
      <c r="A34" s="1" t="s">
        <v>17</v>
      </c>
      <c r="B34" s="1">
        <v>2022</v>
      </c>
      <c r="C34" s="1" t="s">
        <v>19</v>
      </c>
      <c r="D34">
        <v>13</v>
      </c>
      <c r="E34">
        <v>4.2</v>
      </c>
      <c r="F34">
        <v>53.8</v>
      </c>
      <c r="G34">
        <v>17.899999999999999</v>
      </c>
      <c r="H34">
        <v>7.7</v>
      </c>
      <c r="I34">
        <v>73</v>
      </c>
    </row>
    <row r="35" spans="1:9">
      <c r="A35" s="1" t="s">
        <v>17</v>
      </c>
      <c r="B35" s="1">
        <v>2023</v>
      </c>
      <c r="C35" s="1" t="s">
        <v>19</v>
      </c>
      <c r="D35">
        <v>21</v>
      </c>
      <c r="E35">
        <v>1.39</v>
      </c>
      <c r="F35">
        <v>38.1</v>
      </c>
      <c r="G35">
        <v>10.4</v>
      </c>
      <c r="H35">
        <v>0</v>
      </c>
      <c r="I35" t="s">
        <v>20</v>
      </c>
    </row>
    <row r="36" spans="1:9">
      <c r="A36" s="1" t="s">
        <v>17</v>
      </c>
      <c r="B36" s="1">
        <v>2024</v>
      </c>
      <c r="C36" s="1" t="s">
        <v>19</v>
      </c>
      <c r="D36">
        <v>25</v>
      </c>
      <c r="E36">
        <v>2.23</v>
      </c>
      <c r="F36">
        <v>36</v>
      </c>
      <c r="G36">
        <v>6.3</v>
      </c>
      <c r="H36">
        <v>0</v>
      </c>
      <c r="I36" t="s">
        <v>20</v>
      </c>
    </row>
    <row r="37" spans="1:9">
      <c r="A37" s="1" t="s">
        <v>61</v>
      </c>
      <c r="B37" s="1">
        <v>2018</v>
      </c>
      <c r="C37" s="1" t="s">
        <v>19</v>
      </c>
      <c r="D37">
        <v>20</v>
      </c>
      <c r="E37">
        <v>1.8</v>
      </c>
      <c r="F37">
        <v>15</v>
      </c>
      <c r="G37">
        <v>20</v>
      </c>
      <c r="H37">
        <v>0</v>
      </c>
      <c r="I37" t="s">
        <v>20</v>
      </c>
    </row>
    <row r="38" spans="1:9">
      <c r="A38" s="1" t="s">
        <v>61</v>
      </c>
      <c r="B38" s="1">
        <v>2019</v>
      </c>
      <c r="C38" s="1" t="s">
        <v>19</v>
      </c>
      <c r="D38">
        <v>20</v>
      </c>
      <c r="E38">
        <v>1.04</v>
      </c>
      <c r="F38">
        <v>25</v>
      </c>
      <c r="G38">
        <v>19</v>
      </c>
      <c r="H38">
        <v>0</v>
      </c>
      <c r="I38" t="s">
        <v>20</v>
      </c>
    </row>
    <row r="39" spans="1:9">
      <c r="A39" s="1" t="s">
        <v>61</v>
      </c>
      <c r="B39" s="1">
        <v>2020</v>
      </c>
      <c r="C39" s="1" t="s">
        <v>19</v>
      </c>
      <c r="D39">
        <v>25</v>
      </c>
      <c r="E39">
        <v>2.3199999999999998</v>
      </c>
      <c r="F39">
        <v>24</v>
      </c>
      <c r="G39">
        <v>25</v>
      </c>
      <c r="H39">
        <v>0</v>
      </c>
      <c r="I39" t="s">
        <v>20</v>
      </c>
    </row>
    <row r="40" spans="1:9">
      <c r="A40" s="1" t="s">
        <v>61</v>
      </c>
      <c r="B40" s="1">
        <v>2021</v>
      </c>
      <c r="C40" s="1" t="s">
        <v>19</v>
      </c>
      <c r="D40">
        <v>33</v>
      </c>
      <c r="E40">
        <v>1.45</v>
      </c>
      <c r="F40">
        <v>18.2</v>
      </c>
      <c r="G40">
        <v>26.2</v>
      </c>
      <c r="H40">
        <v>0</v>
      </c>
      <c r="I40" t="s">
        <v>20</v>
      </c>
    </row>
    <row r="41" spans="1:9">
      <c r="A41" s="1" t="s">
        <v>61</v>
      </c>
      <c r="B41" s="1">
        <v>2022</v>
      </c>
      <c r="C41" s="1" t="s">
        <v>19</v>
      </c>
      <c r="D41">
        <v>46</v>
      </c>
      <c r="E41">
        <v>1.87</v>
      </c>
      <c r="F41">
        <v>21.7</v>
      </c>
      <c r="G41">
        <v>19.7</v>
      </c>
      <c r="H41">
        <v>0</v>
      </c>
      <c r="I41" t="s">
        <v>20</v>
      </c>
    </row>
    <row r="42" spans="1:9">
      <c r="A42" s="1" t="s">
        <v>61</v>
      </c>
      <c r="B42" s="1">
        <v>2023</v>
      </c>
      <c r="C42" s="1" t="s">
        <v>19</v>
      </c>
      <c r="D42">
        <v>47</v>
      </c>
      <c r="E42">
        <v>1.1299999999999999</v>
      </c>
      <c r="F42">
        <v>36.200000000000003</v>
      </c>
      <c r="G42">
        <v>5.3</v>
      </c>
      <c r="H42">
        <v>0</v>
      </c>
      <c r="I42" t="s">
        <v>20</v>
      </c>
    </row>
    <row r="43" spans="1:9">
      <c r="A43" s="1" t="s">
        <v>61</v>
      </c>
      <c r="B43" s="1">
        <v>2024</v>
      </c>
      <c r="C43" s="1" t="s">
        <v>19</v>
      </c>
      <c r="D43">
        <v>43</v>
      </c>
      <c r="E43">
        <v>2.0499999999999998</v>
      </c>
      <c r="F43">
        <v>32.6</v>
      </c>
      <c r="G43">
        <v>3</v>
      </c>
      <c r="H43">
        <v>0</v>
      </c>
      <c r="I43" t="s">
        <v>20</v>
      </c>
    </row>
    <row r="44" spans="1:9">
      <c r="A44" s="1" t="s">
        <v>13</v>
      </c>
      <c r="B44" s="1">
        <v>2018</v>
      </c>
      <c r="C44" s="1" t="s">
        <v>23</v>
      </c>
      <c r="D44">
        <v>1012</v>
      </c>
      <c r="E44">
        <v>0.93</v>
      </c>
      <c r="F44">
        <v>32.6</v>
      </c>
      <c r="G44">
        <v>32.1</v>
      </c>
      <c r="H44">
        <v>3.1</v>
      </c>
      <c r="I44">
        <v>23.2</v>
      </c>
    </row>
    <row r="45" spans="1:9">
      <c r="A45" s="1" t="s">
        <v>13</v>
      </c>
      <c r="B45" s="1">
        <v>2019</v>
      </c>
      <c r="C45" s="1" t="s">
        <v>23</v>
      </c>
      <c r="D45">
        <v>1017</v>
      </c>
      <c r="E45">
        <v>1.07</v>
      </c>
      <c r="F45">
        <v>34</v>
      </c>
      <c r="G45">
        <v>36.700000000000003</v>
      </c>
      <c r="H45">
        <v>3</v>
      </c>
      <c r="I45">
        <v>10.9</v>
      </c>
    </row>
    <row r="46" spans="1:9">
      <c r="A46" s="1" t="s">
        <v>13</v>
      </c>
      <c r="B46" s="1">
        <v>2020</v>
      </c>
      <c r="C46" s="1" t="s">
        <v>23</v>
      </c>
      <c r="D46">
        <v>1117</v>
      </c>
      <c r="E46">
        <v>1.01</v>
      </c>
      <c r="F46">
        <v>35.9</v>
      </c>
      <c r="G46">
        <v>29.5</v>
      </c>
      <c r="H46">
        <v>3</v>
      </c>
      <c r="I46">
        <v>19.5</v>
      </c>
    </row>
    <row r="47" spans="1:9">
      <c r="A47" s="1" t="s">
        <v>13</v>
      </c>
      <c r="B47" s="1">
        <v>2021</v>
      </c>
      <c r="C47" s="1" t="s">
        <v>23</v>
      </c>
      <c r="D47">
        <v>1178</v>
      </c>
      <c r="E47">
        <v>0.96</v>
      </c>
      <c r="F47">
        <v>37.700000000000003</v>
      </c>
      <c r="G47">
        <v>22.8</v>
      </c>
      <c r="H47">
        <v>3.2</v>
      </c>
      <c r="I47">
        <v>11.6</v>
      </c>
    </row>
    <row r="48" spans="1:9">
      <c r="A48" s="1" t="s">
        <v>13</v>
      </c>
      <c r="B48" s="1">
        <v>2022</v>
      </c>
      <c r="C48" s="1" t="s">
        <v>23</v>
      </c>
      <c r="D48">
        <v>1256</v>
      </c>
      <c r="E48">
        <v>0.99</v>
      </c>
      <c r="F48">
        <v>44.4</v>
      </c>
      <c r="G48">
        <v>16.600000000000001</v>
      </c>
      <c r="H48">
        <v>5.3</v>
      </c>
      <c r="I48">
        <v>10.3</v>
      </c>
    </row>
    <row r="49" spans="1:9">
      <c r="A49" s="1" t="s">
        <v>13</v>
      </c>
      <c r="B49" s="1">
        <v>2023</v>
      </c>
      <c r="C49" s="1" t="s">
        <v>23</v>
      </c>
      <c r="D49">
        <v>1210</v>
      </c>
      <c r="E49">
        <v>1.06</v>
      </c>
      <c r="F49">
        <v>41.1</v>
      </c>
      <c r="G49">
        <v>12.5</v>
      </c>
      <c r="H49">
        <v>2.8</v>
      </c>
      <c r="I49">
        <v>10</v>
      </c>
    </row>
    <row r="50" spans="1:9">
      <c r="A50" s="1" t="s">
        <v>13</v>
      </c>
      <c r="B50" s="1">
        <v>2024</v>
      </c>
      <c r="C50" s="1" t="s">
        <v>23</v>
      </c>
      <c r="D50">
        <v>1267</v>
      </c>
      <c r="E50">
        <v>0.99</v>
      </c>
      <c r="F50">
        <v>43.3</v>
      </c>
      <c r="G50">
        <v>6.3</v>
      </c>
      <c r="H50">
        <v>2.9</v>
      </c>
      <c r="I50">
        <v>2.6</v>
      </c>
    </row>
    <row r="51" spans="1:9">
      <c r="A51" s="1" t="s">
        <v>14</v>
      </c>
      <c r="B51" s="1">
        <v>2018</v>
      </c>
      <c r="C51" s="1" t="s">
        <v>23</v>
      </c>
      <c r="D51">
        <v>222</v>
      </c>
      <c r="E51">
        <v>0.54</v>
      </c>
      <c r="F51">
        <v>11.7</v>
      </c>
      <c r="G51">
        <v>6.4</v>
      </c>
      <c r="H51">
        <v>0</v>
      </c>
      <c r="I51" t="s">
        <v>20</v>
      </c>
    </row>
    <row r="52" spans="1:9">
      <c r="A52" s="1" t="s">
        <v>14</v>
      </c>
      <c r="B52" s="1">
        <v>2019</v>
      </c>
      <c r="C52" s="1" t="s">
        <v>23</v>
      </c>
      <c r="D52">
        <v>203</v>
      </c>
      <c r="E52">
        <v>0.43</v>
      </c>
      <c r="F52">
        <v>16.3</v>
      </c>
      <c r="G52">
        <v>9.3000000000000007</v>
      </c>
      <c r="H52">
        <v>1</v>
      </c>
      <c r="I52">
        <v>1</v>
      </c>
    </row>
    <row r="53" spans="1:9">
      <c r="A53" s="1" t="s">
        <v>14</v>
      </c>
      <c r="B53" s="1">
        <v>2020</v>
      </c>
      <c r="C53" s="1" t="s">
        <v>23</v>
      </c>
      <c r="D53">
        <v>209</v>
      </c>
      <c r="E53">
        <v>0.59</v>
      </c>
      <c r="F53">
        <v>21.5</v>
      </c>
      <c r="G53">
        <v>18.2</v>
      </c>
      <c r="H53">
        <v>0</v>
      </c>
      <c r="I53" t="s">
        <v>20</v>
      </c>
    </row>
    <row r="54" spans="1:9">
      <c r="A54" s="1" t="s">
        <v>14</v>
      </c>
      <c r="B54" s="1">
        <v>2021</v>
      </c>
      <c r="C54" s="1" t="s">
        <v>23</v>
      </c>
      <c r="D54">
        <v>199</v>
      </c>
      <c r="E54">
        <v>0.65</v>
      </c>
      <c r="F54">
        <v>15.6</v>
      </c>
      <c r="G54">
        <v>8.8000000000000007</v>
      </c>
      <c r="H54">
        <v>1.5</v>
      </c>
      <c r="I54">
        <v>16</v>
      </c>
    </row>
    <row r="55" spans="1:9">
      <c r="A55" s="1" t="s">
        <v>14</v>
      </c>
      <c r="B55" s="1">
        <v>2022</v>
      </c>
      <c r="C55" s="1" t="s">
        <v>23</v>
      </c>
      <c r="D55">
        <v>251</v>
      </c>
      <c r="E55">
        <v>0.62</v>
      </c>
      <c r="F55">
        <v>17.100000000000001</v>
      </c>
      <c r="G55">
        <v>8.8000000000000007</v>
      </c>
      <c r="H55">
        <v>1.2</v>
      </c>
      <c r="I55">
        <v>14.7</v>
      </c>
    </row>
    <row r="56" spans="1:9">
      <c r="A56" s="1" t="s">
        <v>14</v>
      </c>
      <c r="B56" s="1">
        <v>2023</v>
      </c>
      <c r="C56" s="1" t="s">
        <v>23</v>
      </c>
      <c r="D56">
        <v>261</v>
      </c>
      <c r="E56">
        <v>0.46</v>
      </c>
      <c r="F56">
        <v>14.9</v>
      </c>
      <c r="G56">
        <v>6.2</v>
      </c>
      <c r="H56">
        <v>4.2</v>
      </c>
      <c r="I56">
        <v>4.0999999999999996</v>
      </c>
    </row>
    <row r="57" spans="1:9">
      <c r="A57" s="1" t="s">
        <v>14</v>
      </c>
      <c r="B57" s="1">
        <v>2024</v>
      </c>
      <c r="C57" s="1" t="s">
        <v>23</v>
      </c>
      <c r="D57">
        <v>244</v>
      </c>
      <c r="E57">
        <v>0.6</v>
      </c>
      <c r="F57">
        <v>18.399999999999999</v>
      </c>
      <c r="G57">
        <v>1.5</v>
      </c>
      <c r="H57">
        <v>3.7</v>
      </c>
      <c r="I57">
        <v>2.2999999999999998</v>
      </c>
    </row>
    <row r="58" spans="1:9">
      <c r="A58" s="1" t="s">
        <v>15</v>
      </c>
      <c r="B58" s="1">
        <v>2018</v>
      </c>
      <c r="C58" s="1" t="s">
        <v>23</v>
      </c>
      <c r="D58">
        <v>142</v>
      </c>
      <c r="E58">
        <v>0.78</v>
      </c>
      <c r="F58">
        <v>27.5</v>
      </c>
      <c r="G58">
        <v>23.3</v>
      </c>
      <c r="H58">
        <v>1.4</v>
      </c>
      <c r="I58">
        <v>4.5</v>
      </c>
    </row>
    <row r="59" spans="1:9">
      <c r="A59" s="1" t="s">
        <v>15</v>
      </c>
      <c r="B59" s="1">
        <v>2019</v>
      </c>
      <c r="C59" s="1" t="s">
        <v>23</v>
      </c>
      <c r="D59">
        <v>166</v>
      </c>
      <c r="E59">
        <v>0.87</v>
      </c>
      <c r="F59">
        <v>28.3</v>
      </c>
      <c r="G59">
        <v>23.7</v>
      </c>
      <c r="H59">
        <v>0.6</v>
      </c>
      <c r="I59" t="s">
        <v>20</v>
      </c>
    </row>
    <row r="60" spans="1:9">
      <c r="A60" s="1" t="s">
        <v>15</v>
      </c>
      <c r="B60" s="1">
        <v>2020</v>
      </c>
      <c r="C60" s="1" t="s">
        <v>23</v>
      </c>
      <c r="D60">
        <v>163</v>
      </c>
      <c r="E60">
        <v>0.81</v>
      </c>
      <c r="F60">
        <v>24.5</v>
      </c>
      <c r="G60">
        <v>15.8</v>
      </c>
      <c r="H60">
        <v>0</v>
      </c>
      <c r="I60" t="s">
        <v>20</v>
      </c>
    </row>
    <row r="61" spans="1:9">
      <c r="A61" s="1" t="s">
        <v>15</v>
      </c>
      <c r="B61" s="1">
        <v>2021</v>
      </c>
      <c r="C61" s="1" t="s">
        <v>23</v>
      </c>
      <c r="D61">
        <v>204</v>
      </c>
      <c r="E61">
        <v>0.8</v>
      </c>
      <c r="F61">
        <v>36.299999999999997</v>
      </c>
      <c r="G61">
        <v>15.5</v>
      </c>
      <c r="H61">
        <v>2</v>
      </c>
      <c r="I61">
        <v>5.3</v>
      </c>
    </row>
    <row r="62" spans="1:9">
      <c r="A62" s="1" t="s">
        <v>15</v>
      </c>
      <c r="B62" s="1">
        <v>2022</v>
      </c>
      <c r="C62" s="1" t="s">
        <v>23</v>
      </c>
      <c r="D62">
        <v>217</v>
      </c>
      <c r="E62">
        <v>0.89</v>
      </c>
      <c r="F62">
        <v>35.5</v>
      </c>
      <c r="G62">
        <v>12.3</v>
      </c>
      <c r="H62">
        <v>0.5</v>
      </c>
      <c r="I62">
        <v>2</v>
      </c>
    </row>
    <row r="63" spans="1:9">
      <c r="A63" s="1" t="s">
        <v>15</v>
      </c>
      <c r="B63" s="1">
        <v>2023</v>
      </c>
      <c r="C63" s="1" t="s">
        <v>23</v>
      </c>
      <c r="D63">
        <v>216</v>
      </c>
      <c r="E63">
        <v>0.7</v>
      </c>
      <c r="F63">
        <v>28.2</v>
      </c>
      <c r="G63">
        <v>10.199999999999999</v>
      </c>
      <c r="H63">
        <v>0.5</v>
      </c>
      <c r="I63">
        <v>10</v>
      </c>
    </row>
    <row r="64" spans="1:9">
      <c r="A64" s="1" t="s">
        <v>15</v>
      </c>
      <c r="B64" s="1">
        <v>2024</v>
      </c>
      <c r="C64" s="1" t="s">
        <v>23</v>
      </c>
      <c r="D64">
        <v>190</v>
      </c>
      <c r="E64">
        <v>0.64</v>
      </c>
      <c r="F64">
        <v>33.200000000000003</v>
      </c>
      <c r="G64">
        <v>3.1</v>
      </c>
      <c r="H64">
        <v>0.5</v>
      </c>
      <c r="I64" t="s">
        <v>20</v>
      </c>
    </row>
    <row r="65" spans="1:9">
      <c r="A65" s="1" t="s">
        <v>16</v>
      </c>
      <c r="B65" s="1">
        <v>2018</v>
      </c>
      <c r="C65" s="1" t="s">
        <v>23</v>
      </c>
      <c r="D65">
        <v>508</v>
      </c>
      <c r="E65">
        <v>0.73</v>
      </c>
      <c r="F65">
        <v>24</v>
      </c>
      <c r="G65">
        <v>23</v>
      </c>
      <c r="H65">
        <v>1.8</v>
      </c>
      <c r="I65">
        <v>11.4</v>
      </c>
    </row>
    <row r="66" spans="1:9">
      <c r="A66" s="1" t="s">
        <v>16</v>
      </c>
      <c r="B66" s="1">
        <v>2019</v>
      </c>
      <c r="C66" s="1" t="s">
        <v>23</v>
      </c>
      <c r="D66">
        <v>567</v>
      </c>
      <c r="E66">
        <v>0.77</v>
      </c>
      <c r="F66">
        <v>25.9</v>
      </c>
      <c r="G66">
        <v>23.5</v>
      </c>
      <c r="H66">
        <v>1.6</v>
      </c>
      <c r="I66">
        <v>9.4</v>
      </c>
    </row>
    <row r="67" spans="1:9">
      <c r="A67" s="1" t="s">
        <v>16</v>
      </c>
      <c r="B67" s="1">
        <v>2020</v>
      </c>
      <c r="C67" s="1" t="s">
        <v>23</v>
      </c>
      <c r="D67">
        <v>593</v>
      </c>
      <c r="E67">
        <v>0.9</v>
      </c>
      <c r="F67">
        <v>33.6</v>
      </c>
      <c r="G67">
        <v>27.1</v>
      </c>
      <c r="H67">
        <v>1.7</v>
      </c>
      <c r="I67">
        <v>33.299999999999997</v>
      </c>
    </row>
    <row r="68" spans="1:9">
      <c r="A68" s="1" t="s">
        <v>16</v>
      </c>
      <c r="B68" s="1">
        <v>2021</v>
      </c>
      <c r="C68" s="1" t="s">
        <v>23</v>
      </c>
      <c r="D68">
        <v>697</v>
      </c>
      <c r="E68">
        <v>0.99</v>
      </c>
      <c r="F68">
        <v>34.6</v>
      </c>
      <c r="G68">
        <v>27.4</v>
      </c>
      <c r="H68">
        <v>2.2000000000000002</v>
      </c>
      <c r="I68">
        <v>14.3</v>
      </c>
    </row>
    <row r="69" spans="1:9">
      <c r="A69" s="1" t="s">
        <v>16</v>
      </c>
      <c r="B69" s="1">
        <v>2022</v>
      </c>
      <c r="C69" s="1" t="s">
        <v>23</v>
      </c>
      <c r="D69">
        <v>885</v>
      </c>
      <c r="E69">
        <v>1.0900000000000001</v>
      </c>
      <c r="F69">
        <v>40.1</v>
      </c>
      <c r="G69">
        <v>25.3</v>
      </c>
      <c r="H69">
        <v>2.4</v>
      </c>
      <c r="I69">
        <v>13.1</v>
      </c>
    </row>
    <row r="70" spans="1:9">
      <c r="A70" s="1" t="s">
        <v>16</v>
      </c>
      <c r="B70" s="1">
        <v>2023</v>
      </c>
      <c r="C70" s="1" t="s">
        <v>23</v>
      </c>
      <c r="D70">
        <v>777</v>
      </c>
      <c r="E70">
        <v>1.06</v>
      </c>
      <c r="F70">
        <v>39.6</v>
      </c>
      <c r="G70">
        <v>16.2</v>
      </c>
      <c r="H70">
        <v>2.6</v>
      </c>
      <c r="I70">
        <v>7.2</v>
      </c>
    </row>
    <row r="71" spans="1:9">
      <c r="A71" s="1" t="s">
        <v>16</v>
      </c>
      <c r="B71" s="1">
        <v>2024</v>
      </c>
      <c r="C71" s="1" t="s">
        <v>23</v>
      </c>
      <c r="D71">
        <v>801</v>
      </c>
      <c r="E71">
        <v>0.96</v>
      </c>
      <c r="F71">
        <v>37.200000000000003</v>
      </c>
      <c r="G71">
        <v>5.6</v>
      </c>
      <c r="H71">
        <v>2</v>
      </c>
      <c r="I71">
        <v>3.1</v>
      </c>
    </row>
    <row r="72" spans="1:9">
      <c r="A72" s="1" t="s">
        <v>17</v>
      </c>
      <c r="B72" s="1">
        <v>2018</v>
      </c>
      <c r="C72" s="1" t="s">
        <v>23</v>
      </c>
      <c r="D72">
        <v>396</v>
      </c>
      <c r="E72">
        <v>0.64</v>
      </c>
      <c r="F72">
        <v>23</v>
      </c>
      <c r="G72">
        <v>21.2</v>
      </c>
      <c r="H72">
        <v>3.8</v>
      </c>
      <c r="I72">
        <v>6.5</v>
      </c>
    </row>
    <row r="73" spans="1:9">
      <c r="A73" s="1" t="s">
        <v>17</v>
      </c>
      <c r="B73" s="1">
        <v>2019</v>
      </c>
      <c r="C73" s="1" t="s">
        <v>23</v>
      </c>
      <c r="D73">
        <v>460</v>
      </c>
      <c r="E73">
        <v>0.8</v>
      </c>
      <c r="F73">
        <v>28.5</v>
      </c>
      <c r="G73">
        <v>28.1</v>
      </c>
      <c r="H73">
        <v>2.6</v>
      </c>
      <c r="I73">
        <v>11.9</v>
      </c>
    </row>
    <row r="74" spans="1:9">
      <c r="A74" s="1" t="s">
        <v>17</v>
      </c>
      <c r="B74" s="1">
        <v>2020</v>
      </c>
      <c r="C74" s="1" t="s">
        <v>23</v>
      </c>
      <c r="D74">
        <v>555</v>
      </c>
      <c r="E74">
        <v>1.2</v>
      </c>
      <c r="F74">
        <v>45.8</v>
      </c>
      <c r="G74">
        <v>37.6</v>
      </c>
      <c r="H74">
        <v>1.1000000000000001</v>
      </c>
      <c r="I74">
        <v>5.8</v>
      </c>
    </row>
    <row r="75" spans="1:9">
      <c r="A75" s="1" t="s">
        <v>17</v>
      </c>
      <c r="B75" s="1">
        <v>2021</v>
      </c>
      <c r="C75" s="1" t="s">
        <v>23</v>
      </c>
      <c r="D75">
        <v>743</v>
      </c>
      <c r="E75">
        <v>1.4</v>
      </c>
      <c r="F75">
        <v>54.1</v>
      </c>
      <c r="G75">
        <v>33.200000000000003</v>
      </c>
      <c r="H75">
        <v>1.5</v>
      </c>
      <c r="I75">
        <v>16.600000000000001</v>
      </c>
    </row>
    <row r="76" spans="1:9">
      <c r="A76" s="1" t="s">
        <v>17</v>
      </c>
      <c r="B76" s="1">
        <v>2022</v>
      </c>
      <c r="C76" s="1" t="s">
        <v>23</v>
      </c>
      <c r="D76">
        <v>841</v>
      </c>
      <c r="E76">
        <v>1.65</v>
      </c>
      <c r="F76">
        <v>62.9</v>
      </c>
      <c r="G76">
        <v>26</v>
      </c>
      <c r="H76">
        <v>2.7</v>
      </c>
      <c r="I76">
        <v>23</v>
      </c>
    </row>
    <row r="77" spans="1:9">
      <c r="A77" s="1" t="s">
        <v>17</v>
      </c>
      <c r="B77" s="1">
        <v>2023</v>
      </c>
      <c r="C77" s="1" t="s">
        <v>23</v>
      </c>
      <c r="D77">
        <v>740</v>
      </c>
      <c r="E77">
        <v>1.48</v>
      </c>
      <c r="F77">
        <v>57.4</v>
      </c>
      <c r="G77">
        <v>18.2</v>
      </c>
      <c r="H77">
        <v>0.9</v>
      </c>
      <c r="I77">
        <v>4.4000000000000004</v>
      </c>
    </row>
    <row r="78" spans="1:9">
      <c r="A78" s="1" t="s">
        <v>17</v>
      </c>
      <c r="B78" s="1">
        <v>2024</v>
      </c>
      <c r="C78" s="1" t="s">
        <v>23</v>
      </c>
      <c r="D78">
        <v>702</v>
      </c>
      <c r="E78">
        <v>1.87</v>
      </c>
      <c r="F78">
        <v>55.8</v>
      </c>
      <c r="G78">
        <v>9.4</v>
      </c>
      <c r="H78">
        <v>0.9</v>
      </c>
      <c r="I78">
        <v>3</v>
      </c>
    </row>
    <row r="79" spans="1:9">
      <c r="A79" s="1" t="s">
        <v>74</v>
      </c>
      <c r="B79" s="1">
        <v>2018</v>
      </c>
      <c r="C79" s="1" t="s">
        <v>23</v>
      </c>
      <c r="D79">
        <v>1101</v>
      </c>
      <c r="E79">
        <v>1.1000000000000001</v>
      </c>
      <c r="F79">
        <v>33.299999999999997</v>
      </c>
      <c r="G79">
        <v>35.1</v>
      </c>
      <c r="H79">
        <v>2.5</v>
      </c>
      <c r="I79">
        <v>31.4</v>
      </c>
    </row>
    <row r="80" spans="1:9">
      <c r="A80" s="1" t="s">
        <v>74</v>
      </c>
      <c r="B80" s="1">
        <v>2019</v>
      </c>
      <c r="C80" s="1" t="s">
        <v>23</v>
      </c>
      <c r="D80">
        <v>1259</v>
      </c>
      <c r="E80">
        <v>1.1399999999999999</v>
      </c>
      <c r="F80">
        <v>34.9</v>
      </c>
      <c r="G80">
        <v>32.1</v>
      </c>
      <c r="H80">
        <v>1.9</v>
      </c>
      <c r="I80">
        <v>24.9</v>
      </c>
    </row>
    <row r="81" spans="1:9">
      <c r="A81" s="1" t="s">
        <v>74</v>
      </c>
      <c r="B81" s="1">
        <v>2020</v>
      </c>
      <c r="C81" s="1" t="s">
        <v>23</v>
      </c>
      <c r="D81">
        <v>1315</v>
      </c>
      <c r="E81">
        <v>1.19</v>
      </c>
      <c r="F81">
        <v>39.299999999999997</v>
      </c>
      <c r="G81">
        <v>34.799999999999997</v>
      </c>
      <c r="H81">
        <v>2.2000000000000002</v>
      </c>
      <c r="I81">
        <v>26.8</v>
      </c>
    </row>
    <row r="82" spans="1:9">
      <c r="A82" s="1" t="s">
        <v>74</v>
      </c>
      <c r="B82" s="1">
        <v>2021</v>
      </c>
      <c r="C82" s="1" t="s">
        <v>23</v>
      </c>
      <c r="D82">
        <v>1371</v>
      </c>
      <c r="E82">
        <v>1.2</v>
      </c>
      <c r="F82">
        <v>39.4</v>
      </c>
      <c r="G82">
        <v>27.5</v>
      </c>
      <c r="H82">
        <v>2.2999999999999998</v>
      </c>
      <c r="I82">
        <v>23.5</v>
      </c>
    </row>
    <row r="83" spans="1:9">
      <c r="A83" s="1" t="s">
        <v>74</v>
      </c>
      <c r="B83" s="1">
        <v>2022</v>
      </c>
      <c r="C83" s="1" t="s">
        <v>23</v>
      </c>
      <c r="D83">
        <v>1360</v>
      </c>
      <c r="E83">
        <v>1.19</v>
      </c>
      <c r="F83">
        <v>39.799999999999997</v>
      </c>
      <c r="G83">
        <v>18.7</v>
      </c>
      <c r="H83">
        <v>2.2999999999999998</v>
      </c>
      <c r="I83">
        <v>16.3</v>
      </c>
    </row>
    <row r="84" spans="1:9">
      <c r="A84" s="1" t="s">
        <v>74</v>
      </c>
      <c r="B84" s="1">
        <v>2023</v>
      </c>
      <c r="C84" s="1" t="s">
        <v>23</v>
      </c>
      <c r="D84">
        <v>1461</v>
      </c>
      <c r="E84">
        <v>1.25</v>
      </c>
      <c r="F84">
        <v>40</v>
      </c>
      <c r="G84">
        <v>13.9</v>
      </c>
      <c r="H84">
        <v>2.5</v>
      </c>
      <c r="I84">
        <v>9.1999999999999993</v>
      </c>
    </row>
    <row r="85" spans="1:9">
      <c r="A85" s="1" t="s">
        <v>74</v>
      </c>
      <c r="B85" s="1">
        <v>2024</v>
      </c>
      <c r="C85" s="1" t="s">
        <v>23</v>
      </c>
      <c r="D85">
        <v>1416</v>
      </c>
      <c r="E85">
        <v>1.1599999999999999</v>
      </c>
      <c r="F85">
        <v>40.4</v>
      </c>
      <c r="G85">
        <v>6.6</v>
      </c>
      <c r="H85">
        <v>2.7</v>
      </c>
      <c r="I85">
        <v>6</v>
      </c>
    </row>
    <row r="86" spans="1:9">
      <c r="A86" s="1" t="s">
        <v>13</v>
      </c>
      <c r="B86" s="1">
        <v>2018</v>
      </c>
      <c r="C86" s="1" t="s">
        <v>40</v>
      </c>
      <c r="D86">
        <v>120</v>
      </c>
      <c r="E86">
        <v>0.92</v>
      </c>
      <c r="F86">
        <v>40.799999999999997</v>
      </c>
      <c r="G86">
        <v>25.6</v>
      </c>
      <c r="H86">
        <v>1.7</v>
      </c>
      <c r="I86">
        <v>28.5</v>
      </c>
    </row>
    <row r="87" spans="1:9">
      <c r="A87" s="1" t="s">
        <v>13</v>
      </c>
      <c r="B87" s="1">
        <v>2019</v>
      </c>
      <c r="C87" s="1" t="s">
        <v>40</v>
      </c>
      <c r="D87">
        <v>183</v>
      </c>
      <c r="E87">
        <v>1.42</v>
      </c>
      <c r="F87">
        <v>40.4</v>
      </c>
      <c r="G87">
        <v>44.3</v>
      </c>
      <c r="H87">
        <v>1.6</v>
      </c>
      <c r="I87">
        <v>16.3</v>
      </c>
    </row>
    <row r="88" spans="1:9">
      <c r="A88" s="1" t="s">
        <v>13</v>
      </c>
      <c r="B88" s="1">
        <v>2020</v>
      </c>
      <c r="C88" s="1" t="s">
        <v>40</v>
      </c>
      <c r="D88">
        <v>194</v>
      </c>
      <c r="E88">
        <v>1.17</v>
      </c>
      <c r="F88">
        <v>37.1</v>
      </c>
      <c r="G88">
        <v>30.9</v>
      </c>
      <c r="H88">
        <v>0.5</v>
      </c>
      <c r="I88">
        <v>75</v>
      </c>
    </row>
    <row r="89" spans="1:9">
      <c r="A89" s="1" t="s">
        <v>13</v>
      </c>
      <c r="B89" s="1">
        <v>2021</v>
      </c>
      <c r="C89" s="1" t="s">
        <v>40</v>
      </c>
      <c r="D89">
        <v>197</v>
      </c>
      <c r="E89">
        <v>1.27</v>
      </c>
      <c r="F89">
        <v>45.2</v>
      </c>
      <c r="G89">
        <v>30.2</v>
      </c>
      <c r="H89">
        <v>1</v>
      </c>
      <c r="I89">
        <v>18.5</v>
      </c>
    </row>
    <row r="90" spans="1:9">
      <c r="A90" s="1" t="s">
        <v>13</v>
      </c>
      <c r="B90" s="1">
        <v>2022</v>
      </c>
      <c r="C90" s="1" t="s">
        <v>40</v>
      </c>
      <c r="D90">
        <v>293</v>
      </c>
      <c r="E90">
        <v>1.1399999999999999</v>
      </c>
      <c r="F90">
        <v>39.9</v>
      </c>
      <c r="G90">
        <v>18.600000000000001</v>
      </c>
      <c r="H90">
        <v>1.4</v>
      </c>
      <c r="I90">
        <v>6</v>
      </c>
    </row>
    <row r="91" spans="1:9">
      <c r="A91" s="1" t="s">
        <v>13</v>
      </c>
      <c r="B91" s="1">
        <v>2023</v>
      </c>
      <c r="C91" s="1" t="s">
        <v>40</v>
      </c>
      <c r="D91">
        <v>194</v>
      </c>
      <c r="E91">
        <v>1.27</v>
      </c>
      <c r="F91">
        <v>50.5</v>
      </c>
      <c r="G91">
        <v>9.1999999999999993</v>
      </c>
      <c r="H91">
        <v>1.5</v>
      </c>
      <c r="I91">
        <v>2</v>
      </c>
    </row>
    <row r="92" spans="1:9">
      <c r="A92" s="1" t="s">
        <v>13</v>
      </c>
      <c r="B92" s="1">
        <v>2024</v>
      </c>
      <c r="C92" s="1" t="s">
        <v>40</v>
      </c>
      <c r="D92">
        <v>201</v>
      </c>
      <c r="E92">
        <v>1.48</v>
      </c>
      <c r="F92">
        <v>55.2</v>
      </c>
      <c r="G92">
        <v>5.5</v>
      </c>
      <c r="H92">
        <v>2</v>
      </c>
      <c r="I92">
        <v>4.8</v>
      </c>
    </row>
    <row r="93" spans="1:9">
      <c r="A93" s="1" t="s">
        <v>14</v>
      </c>
      <c r="B93" s="1">
        <v>2018</v>
      </c>
      <c r="C93" s="1" t="s">
        <v>40</v>
      </c>
      <c r="D93">
        <v>25</v>
      </c>
      <c r="E93">
        <v>1.1000000000000001</v>
      </c>
      <c r="F93">
        <v>24</v>
      </c>
      <c r="G93">
        <v>22.5</v>
      </c>
      <c r="H93">
        <v>0</v>
      </c>
      <c r="I93" t="s">
        <v>20</v>
      </c>
    </row>
    <row r="94" spans="1:9">
      <c r="A94" s="1" t="s">
        <v>14</v>
      </c>
      <c r="B94" s="1">
        <v>2019</v>
      </c>
      <c r="C94" s="1" t="s">
        <v>40</v>
      </c>
      <c r="D94">
        <v>19</v>
      </c>
      <c r="E94">
        <v>0.65</v>
      </c>
      <c r="F94">
        <v>21.1</v>
      </c>
      <c r="G94">
        <v>15.5</v>
      </c>
      <c r="H94">
        <v>5.3</v>
      </c>
      <c r="I94" t="s">
        <v>20</v>
      </c>
    </row>
    <row r="95" spans="1:9">
      <c r="A95" s="1" t="s">
        <v>14</v>
      </c>
      <c r="B95" s="1">
        <v>2020</v>
      </c>
      <c r="C95" s="1" t="s">
        <v>40</v>
      </c>
      <c r="D95">
        <v>29</v>
      </c>
      <c r="E95">
        <v>1.1499999999999999</v>
      </c>
      <c r="F95">
        <v>31</v>
      </c>
      <c r="G95">
        <v>6.6</v>
      </c>
      <c r="H95">
        <v>0</v>
      </c>
      <c r="I95" t="s">
        <v>20</v>
      </c>
    </row>
    <row r="96" spans="1:9">
      <c r="A96" s="1" t="s">
        <v>14</v>
      </c>
      <c r="B96" s="1">
        <v>2021</v>
      </c>
      <c r="C96" s="1" t="s">
        <v>40</v>
      </c>
      <c r="D96">
        <v>26</v>
      </c>
      <c r="E96">
        <v>0.61</v>
      </c>
      <c r="F96">
        <v>23.1</v>
      </c>
      <c r="G96">
        <v>9.3000000000000007</v>
      </c>
      <c r="H96">
        <v>3.8</v>
      </c>
      <c r="I96">
        <v>23</v>
      </c>
    </row>
    <row r="97" spans="1:9">
      <c r="A97" s="1" t="s">
        <v>14</v>
      </c>
      <c r="B97" s="1">
        <v>2022</v>
      </c>
      <c r="C97" s="1" t="s">
        <v>40</v>
      </c>
      <c r="D97">
        <v>37</v>
      </c>
      <c r="E97">
        <v>0.74</v>
      </c>
      <c r="F97">
        <v>10.8</v>
      </c>
      <c r="G97">
        <v>10.8</v>
      </c>
      <c r="H97">
        <v>0</v>
      </c>
      <c r="I97" t="s">
        <v>20</v>
      </c>
    </row>
    <row r="98" spans="1:9">
      <c r="A98" s="1" t="s">
        <v>14</v>
      </c>
      <c r="B98" s="1">
        <v>2023</v>
      </c>
      <c r="C98" s="1" t="s">
        <v>40</v>
      </c>
      <c r="D98">
        <v>25</v>
      </c>
      <c r="E98">
        <v>0.84</v>
      </c>
      <c r="F98">
        <v>20</v>
      </c>
      <c r="G98">
        <v>11.8</v>
      </c>
      <c r="H98">
        <v>0</v>
      </c>
      <c r="I98" t="s">
        <v>20</v>
      </c>
    </row>
    <row r="99" spans="1:9">
      <c r="A99" s="1" t="s">
        <v>14</v>
      </c>
      <c r="B99" s="1">
        <v>2024</v>
      </c>
      <c r="C99" s="1" t="s">
        <v>40</v>
      </c>
      <c r="D99">
        <v>22</v>
      </c>
      <c r="E99">
        <v>1.35</v>
      </c>
      <c r="F99">
        <v>45.5</v>
      </c>
      <c r="G99">
        <v>3.6</v>
      </c>
      <c r="H99">
        <v>0</v>
      </c>
      <c r="I99" t="s">
        <v>20</v>
      </c>
    </row>
    <row r="100" spans="1:9">
      <c r="A100" s="1" t="s">
        <v>15</v>
      </c>
      <c r="B100" s="1">
        <v>2018</v>
      </c>
      <c r="C100" s="1" t="s">
        <v>40</v>
      </c>
      <c r="D100">
        <v>129</v>
      </c>
      <c r="E100">
        <v>0.85</v>
      </c>
      <c r="F100">
        <v>34.1</v>
      </c>
      <c r="G100">
        <v>23.1</v>
      </c>
      <c r="H100">
        <v>3.1</v>
      </c>
      <c r="I100">
        <v>4.3</v>
      </c>
    </row>
    <row r="101" spans="1:9">
      <c r="A101" s="1" t="s">
        <v>15</v>
      </c>
      <c r="B101" s="1">
        <v>2019</v>
      </c>
      <c r="C101" s="1" t="s">
        <v>40</v>
      </c>
      <c r="D101">
        <v>166</v>
      </c>
      <c r="E101">
        <v>1.19</v>
      </c>
      <c r="F101">
        <v>34.9</v>
      </c>
      <c r="G101">
        <v>28.7</v>
      </c>
      <c r="H101">
        <v>0</v>
      </c>
      <c r="I101" t="s">
        <v>20</v>
      </c>
    </row>
    <row r="102" spans="1:9">
      <c r="A102" s="1" t="s">
        <v>15</v>
      </c>
      <c r="B102" s="1">
        <v>2020</v>
      </c>
      <c r="C102" s="1" t="s">
        <v>40</v>
      </c>
      <c r="D102">
        <v>191</v>
      </c>
      <c r="E102">
        <v>0.89</v>
      </c>
      <c r="F102">
        <v>38.200000000000003</v>
      </c>
      <c r="G102">
        <v>22.3</v>
      </c>
      <c r="H102">
        <v>0</v>
      </c>
      <c r="I102" t="s">
        <v>20</v>
      </c>
    </row>
    <row r="103" spans="1:9">
      <c r="A103" s="1" t="s">
        <v>15</v>
      </c>
      <c r="B103" s="1">
        <v>2021</v>
      </c>
      <c r="C103" s="1" t="s">
        <v>40</v>
      </c>
      <c r="D103">
        <v>276</v>
      </c>
      <c r="E103">
        <v>0.97</v>
      </c>
      <c r="F103">
        <v>38.4</v>
      </c>
      <c r="G103">
        <v>17.899999999999999</v>
      </c>
      <c r="H103">
        <v>0</v>
      </c>
      <c r="I103" t="s">
        <v>20</v>
      </c>
    </row>
    <row r="104" spans="1:9">
      <c r="A104" s="1" t="s">
        <v>15</v>
      </c>
      <c r="B104" s="1">
        <v>2022</v>
      </c>
      <c r="C104" s="1" t="s">
        <v>40</v>
      </c>
      <c r="D104">
        <v>343</v>
      </c>
      <c r="E104">
        <v>1.0900000000000001</v>
      </c>
      <c r="F104">
        <v>41.1</v>
      </c>
      <c r="G104">
        <v>14.3</v>
      </c>
      <c r="H104">
        <v>0.9</v>
      </c>
      <c r="I104">
        <v>12.7</v>
      </c>
    </row>
    <row r="105" spans="1:9">
      <c r="A105" s="1" t="s">
        <v>15</v>
      </c>
      <c r="B105" s="1">
        <v>2023</v>
      </c>
      <c r="C105" s="1" t="s">
        <v>40</v>
      </c>
      <c r="D105">
        <v>306</v>
      </c>
      <c r="E105">
        <v>1.07</v>
      </c>
      <c r="F105">
        <v>39.200000000000003</v>
      </c>
      <c r="G105">
        <v>7.6</v>
      </c>
      <c r="H105">
        <v>0.3</v>
      </c>
      <c r="I105">
        <v>10</v>
      </c>
    </row>
    <row r="106" spans="1:9">
      <c r="A106" s="1" t="s">
        <v>15</v>
      </c>
      <c r="B106" s="1">
        <v>2024</v>
      </c>
      <c r="C106" s="1" t="s">
        <v>40</v>
      </c>
      <c r="D106">
        <v>323</v>
      </c>
      <c r="E106">
        <v>0.91</v>
      </c>
      <c r="F106">
        <v>41.8</v>
      </c>
      <c r="G106">
        <v>4.4000000000000004</v>
      </c>
      <c r="H106">
        <v>0.3</v>
      </c>
      <c r="I106">
        <v>1</v>
      </c>
    </row>
    <row r="107" spans="1:9">
      <c r="A107" s="1" t="s">
        <v>16</v>
      </c>
      <c r="B107" s="1">
        <v>2018</v>
      </c>
      <c r="C107" s="1" t="s">
        <v>40</v>
      </c>
      <c r="D107">
        <v>117</v>
      </c>
      <c r="E107">
        <v>1.01</v>
      </c>
      <c r="F107">
        <v>26.5</v>
      </c>
      <c r="G107">
        <v>40.700000000000003</v>
      </c>
      <c r="H107">
        <v>0.9</v>
      </c>
      <c r="I107">
        <v>7</v>
      </c>
    </row>
    <row r="108" spans="1:9">
      <c r="A108" s="1" t="s">
        <v>16</v>
      </c>
      <c r="B108" s="1">
        <v>2019</v>
      </c>
      <c r="C108" s="1" t="s">
        <v>40</v>
      </c>
      <c r="D108">
        <v>134</v>
      </c>
      <c r="E108">
        <v>1.05</v>
      </c>
      <c r="F108">
        <v>22.4</v>
      </c>
      <c r="G108">
        <v>20.2</v>
      </c>
      <c r="H108">
        <v>3</v>
      </c>
      <c r="I108">
        <v>16</v>
      </c>
    </row>
    <row r="109" spans="1:9">
      <c r="A109" s="1" t="s">
        <v>16</v>
      </c>
      <c r="B109" s="1">
        <v>2020</v>
      </c>
      <c r="C109" s="1" t="s">
        <v>40</v>
      </c>
      <c r="D109">
        <v>178</v>
      </c>
      <c r="E109">
        <v>1.05</v>
      </c>
      <c r="F109">
        <v>30.9</v>
      </c>
      <c r="G109">
        <v>22.7</v>
      </c>
      <c r="H109">
        <v>2.2000000000000002</v>
      </c>
      <c r="I109">
        <v>11.3</v>
      </c>
    </row>
    <row r="110" spans="1:9">
      <c r="A110" s="1" t="s">
        <v>16</v>
      </c>
      <c r="B110" s="1">
        <v>2021</v>
      </c>
      <c r="C110" s="1" t="s">
        <v>40</v>
      </c>
      <c r="D110">
        <v>222</v>
      </c>
      <c r="E110">
        <v>1.3</v>
      </c>
      <c r="F110">
        <v>33.799999999999997</v>
      </c>
      <c r="G110">
        <v>30.6</v>
      </c>
      <c r="H110">
        <v>1.4</v>
      </c>
      <c r="I110">
        <v>19</v>
      </c>
    </row>
    <row r="111" spans="1:9">
      <c r="A111" s="1" t="s">
        <v>16</v>
      </c>
      <c r="B111" s="1">
        <v>2022</v>
      </c>
      <c r="C111" s="1" t="s">
        <v>40</v>
      </c>
      <c r="D111">
        <v>252</v>
      </c>
      <c r="E111">
        <v>1.36</v>
      </c>
      <c r="F111">
        <v>37.299999999999997</v>
      </c>
      <c r="G111">
        <v>30.5</v>
      </c>
      <c r="H111">
        <v>1.2</v>
      </c>
      <c r="I111">
        <v>28.7</v>
      </c>
    </row>
    <row r="112" spans="1:9">
      <c r="A112" s="1" t="s">
        <v>16</v>
      </c>
      <c r="B112" s="1">
        <v>2023</v>
      </c>
      <c r="C112" s="1" t="s">
        <v>40</v>
      </c>
      <c r="D112">
        <v>237</v>
      </c>
      <c r="E112">
        <v>1.31</v>
      </c>
      <c r="F112">
        <v>46.4</v>
      </c>
      <c r="G112">
        <v>16.399999999999999</v>
      </c>
      <c r="H112">
        <v>1.3</v>
      </c>
      <c r="I112">
        <v>3</v>
      </c>
    </row>
    <row r="113" spans="1:9">
      <c r="A113" s="1" t="s">
        <v>16</v>
      </c>
      <c r="B113" s="1">
        <v>2024</v>
      </c>
      <c r="C113" s="1" t="s">
        <v>40</v>
      </c>
      <c r="D113">
        <v>249</v>
      </c>
      <c r="E113">
        <v>1.02</v>
      </c>
      <c r="F113">
        <v>43.8</v>
      </c>
      <c r="G113">
        <v>5.0999999999999996</v>
      </c>
      <c r="H113">
        <v>2</v>
      </c>
      <c r="I113">
        <v>7.2</v>
      </c>
    </row>
    <row r="114" spans="1:9">
      <c r="A114" s="1" t="s">
        <v>17</v>
      </c>
      <c r="B114" s="1">
        <v>2018</v>
      </c>
      <c r="C114" s="1" t="s">
        <v>40</v>
      </c>
      <c r="D114">
        <v>56</v>
      </c>
      <c r="E114">
        <v>1.17</v>
      </c>
      <c r="F114">
        <v>41.1</v>
      </c>
      <c r="G114">
        <v>34.5</v>
      </c>
      <c r="H114">
        <v>1.8</v>
      </c>
      <c r="I114">
        <v>10</v>
      </c>
    </row>
    <row r="115" spans="1:9">
      <c r="A115" s="1" t="s">
        <v>17</v>
      </c>
      <c r="B115" s="1">
        <v>2019</v>
      </c>
      <c r="C115" s="1" t="s">
        <v>40</v>
      </c>
      <c r="D115">
        <v>75</v>
      </c>
      <c r="E115">
        <v>0.96</v>
      </c>
      <c r="F115">
        <v>44</v>
      </c>
      <c r="G115">
        <v>23.1</v>
      </c>
      <c r="H115">
        <v>2.7</v>
      </c>
      <c r="I115">
        <v>13</v>
      </c>
    </row>
    <row r="116" spans="1:9">
      <c r="A116" s="1" t="s">
        <v>17</v>
      </c>
      <c r="B116" s="1">
        <v>2020</v>
      </c>
      <c r="C116" s="1" t="s">
        <v>40</v>
      </c>
      <c r="D116">
        <v>95</v>
      </c>
      <c r="E116">
        <v>1.0900000000000001</v>
      </c>
      <c r="F116">
        <v>52.6</v>
      </c>
      <c r="G116">
        <v>30.1</v>
      </c>
      <c r="H116">
        <v>1.1000000000000001</v>
      </c>
      <c r="I116">
        <v>6</v>
      </c>
    </row>
    <row r="117" spans="1:9">
      <c r="A117" s="1" t="s">
        <v>17</v>
      </c>
      <c r="B117" s="1">
        <v>2021</v>
      </c>
      <c r="C117" s="1" t="s">
        <v>40</v>
      </c>
      <c r="D117">
        <v>140</v>
      </c>
      <c r="E117">
        <v>4.91</v>
      </c>
      <c r="F117">
        <v>56.4</v>
      </c>
      <c r="G117">
        <v>115.1</v>
      </c>
      <c r="H117">
        <v>5</v>
      </c>
      <c r="I117">
        <v>112</v>
      </c>
    </row>
    <row r="118" spans="1:9">
      <c r="A118" s="1" t="s">
        <v>17</v>
      </c>
      <c r="B118" s="1">
        <v>2022</v>
      </c>
      <c r="C118" s="1" t="s">
        <v>40</v>
      </c>
      <c r="D118">
        <v>167</v>
      </c>
      <c r="E118">
        <v>5.0599999999999996</v>
      </c>
      <c r="F118">
        <v>58.7</v>
      </c>
      <c r="G118">
        <v>74.8</v>
      </c>
      <c r="H118">
        <v>5.4</v>
      </c>
      <c r="I118">
        <v>245.9</v>
      </c>
    </row>
    <row r="119" spans="1:9">
      <c r="A119" s="1" t="s">
        <v>17</v>
      </c>
      <c r="B119" s="1">
        <v>2023</v>
      </c>
      <c r="C119" s="1" t="s">
        <v>40</v>
      </c>
      <c r="D119">
        <v>178</v>
      </c>
      <c r="E119">
        <v>4.08</v>
      </c>
      <c r="F119">
        <v>63.5</v>
      </c>
      <c r="G119">
        <v>39.700000000000003</v>
      </c>
      <c r="H119">
        <v>3.9</v>
      </c>
      <c r="I119">
        <v>181.3</v>
      </c>
    </row>
    <row r="120" spans="1:9">
      <c r="A120" s="1" t="s">
        <v>17</v>
      </c>
      <c r="B120" s="1">
        <v>2024</v>
      </c>
      <c r="C120" s="1" t="s">
        <v>40</v>
      </c>
      <c r="D120">
        <v>119</v>
      </c>
      <c r="E120">
        <v>18.420000000000002</v>
      </c>
      <c r="F120">
        <v>59.7</v>
      </c>
      <c r="G120">
        <v>63.2</v>
      </c>
      <c r="H120">
        <v>5</v>
      </c>
      <c r="I120">
        <v>661.5</v>
      </c>
    </row>
    <row r="121" spans="1:9">
      <c r="A121" s="1" t="s">
        <v>74</v>
      </c>
      <c r="B121" s="1">
        <v>2018</v>
      </c>
      <c r="C121" s="1" t="s">
        <v>40</v>
      </c>
      <c r="D121">
        <v>145</v>
      </c>
      <c r="E121">
        <v>1.43</v>
      </c>
      <c r="F121">
        <v>33.1</v>
      </c>
      <c r="G121">
        <v>56.6</v>
      </c>
      <c r="H121">
        <v>0</v>
      </c>
      <c r="I121" t="s">
        <v>20</v>
      </c>
    </row>
    <row r="122" spans="1:9">
      <c r="A122" s="1" t="s">
        <v>74</v>
      </c>
      <c r="B122" s="1">
        <v>2019</v>
      </c>
      <c r="C122" s="1" t="s">
        <v>40</v>
      </c>
      <c r="D122">
        <v>137</v>
      </c>
      <c r="E122">
        <v>1.47</v>
      </c>
      <c r="F122">
        <v>40.9</v>
      </c>
      <c r="G122">
        <v>41.1</v>
      </c>
      <c r="H122">
        <v>0.7</v>
      </c>
      <c r="I122">
        <v>14</v>
      </c>
    </row>
    <row r="123" spans="1:9">
      <c r="A123" s="1" t="s">
        <v>74</v>
      </c>
      <c r="B123" s="1">
        <v>2020</v>
      </c>
      <c r="C123" s="1" t="s">
        <v>40</v>
      </c>
      <c r="D123">
        <v>182</v>
      </c>
      <c r="E123">
        <v>1.43</v>
      </c>
      <c r="F123">
        <v>40.700000000000003</v>
      </c>
      <c r="G123">
        <v>47.3</v>
      </c>
      <c r="H123">
        <v>1.1000000000000001</v>
      </c>
      <c r="I123">
        <v>36.5</v>
      </c>
    </row>
    <row r="124" spans="1:9">
      <c r="A124" s="1" t="s">
        <v>74</v>
      </c>
      <c r="B124" s="1">
        <v>2021</v>
      </c>
      <c r="C124" s="1" t="s">
        <v>40</v>
      </c>
      <c r="D124">
        <v>214</v>
      </c>
      <c r="E124">
        <v>1.37</v>
      </c>
      <c r="F124">
        <v>39.700000000000003</v>
      </c>
      <c r="G124">
        <v>31</v>
      </c>
      <c r="H124">
        <v>2.2999999999999998</v>
      </c>
      <c r="I124">
        <v>56</v>
      </c>
    </row>
    <row r="125" spans="1:9">
      <c r="A125" s="1" t="s">
        <v>74</v>
      </c>
      <c r="B125" s="1">
        <v>2022</v>
      </c>
      <c r="C125" s="1" t="s">
        <v>40</v>
      </c>
      <c r="D125">
        <v>230</v>
      </c>
      <c r="E125">
        <v>1.35</v>
      </c>
      <c r="F125">
        <v>38.299999999999997</v>
      </c>
      <c r="G125">
        <v>23.4</v>
      </c>
      <c r="H125">
        <v>1.3</v>
      </c>
      <c r="I125">
        <v>23.3</v>
      </c>
    </row>
    <row r="126" spans="1:9">
      <c r="A126" s="1" t="s">
        <v>74</v>
      </c>
      <c r="B126" s="1">
        <v>2023</v>
      </c>
      <c r="C126" s="1" t="s">
        <v>40</v>
      </c>
      <c r="D126">
        <v>193</v>
      </c>
      <c r="E126">
        <v>1.3</v>
      </c>
      <c r="F126">
        <v>53.4</v>
      </c>
      <c r="G126">
        <v>12.7</v>
      </c>
      <c r="H126">
        <v>3.1</v>
      </c>
      <c r="I126">
        <v>16.5</v>
      </c>
    </row>
    <row r="127" spans="1:9">
      <c r="A127" s="1" t="s">
        <v>74</v>
      </c>
      <c r="B127" s="1">
        <v>2024</v>
      </c>
      <c r="C127" s="1" t="s">
        <v>40</v>
      </c>
      <c r="D127">
        <v>183</v>
      </c>
      <c r="E127">
        <v>1.44</v>
      </c>
      <c r="F127">
        <v>52.5</v>
      </c>
      <c r="G127">
        <v>6.6</v>
      </c>
      <c r="H127">
        <v>2.7</v>
      </c>
      <c r="I127">
        <v>13.2</v>
      </c>
    </row>
    <row r="128" spans="1:9">
      <c r="A128" s="1" t="s">
        <v>13</v>
      </c>
      <c r="B128" s="1">
        <v>2018</v>
      </c>
      <c r="C128" s="1" t="s">
        <v>22</v>
      </c>
      <c r="D128">
        <v>743</v>
      </c>
      <c r="E128">
        <v>0.93</v>
      </c>
      <c r="F128">
        <v>35.299999999999997</v>
      </c>
      <c r="G128">
        <v>31.3</v>
      </c>
      <c r="H128">
        <v>2.6</v>
      </c>
      <c r="I128">
        <v>14.1</v>
      </c>
    </row>
    <row r="129" spans="1:9">
      <c r="A129" s="1" t="s">
        <v>13</v>
      </c>
      <c r="B129" s="1">
        <v>2019</v>
      </c>
      <c r="C129" s="1" t="s">
        <v>22</v>
      </c>
      <c r="D129">
        <v>688</v>
      </c>
      <c r="E129">
        <v>1.22</v>
      </c>
      <c r="F129">
        <v>40.700000000000003</v>
      </c>
      <c r="G129">
        <v>39.299999999999997</v>
      </c>
      <c r="H129">
        <v>2.2999999999999998</v>
      </c>
      <c r="I129">
        <v>8.3000000000000007</v>
      </c>
    </row>
    <row r="130" spans="1:9">
      <c r="A130" s="1" t="s">
        <v>13</v>
      </c>
      <c r="B130" s="1">
        <v>2020</v>
      </c>
      <c r="C130" s="1" t="s">
        <v>22</v>
      </c>
      <c r="D130">
        <v>771</v>
      </c>
      <c r="E130">
        <v>1.05</v>
      </c>
      <c r="F130">
        <v>39</v>
      </c>
      <c r="G130">
        <v>28.1</v>
      </c>
      <c r="H130">
        <v>1.9</v>
      </c>
      <c r="I130">
        <v>16.399999999999999</v>
      </c>
    </row>
    <row r="131" spans="1:9">
      <c r="A131" s="1" t="s">
        <v>13</v>
      </c>
      <c r="B131" s="1">
        <v>2021</v>
      </c>
      <c r="C131" s="1" t="s">
        <v>22</v>
      </c>
      <c r="D131">
        <v>842</v>
      </c>
      <c r="E131">
        <v>1.0900000000000001</v>
      </c>
      <c r="F131">
        <v>39.4</v>
      </c>
      <c r="G131">
        <v>25.8</v>
      </c>
      <c r="H131">
        <v>3</v>
      </c>
      <c r="I131">
        <v>12.7</v>
      </c>
    </row>
    <row r="132" spans="1:9">
      <c r="A132" s="1" t="s">
        <v>13</v>
      </c>
      <c r="B132" s="1">
        <v>2022</v>
      </c>
      <c r="C132" s="1" t="s">
        <v>22</v>
      </c>
      <c r="D132">
        <v>866</v>
      </c>
      <c r="E132">
        <v>1.04</v>
      </c>
      <c r="F132">
        <v>43.4</v>
      </c>
      <c r="G132">
        <v>17.899999999999999</v>
      </c>
      <c r="H132">
        <v>5.3</v>
      </c>
      <c r="I132">
        <v>11.8</v>
      </c>
    </row>
    <row r="133" spans="1:9">
      <c r="A133" s="1" t="s">
        <v>13</v>
      </c>
      <c r="B133" s="1">
        <v>2023</v>
      </c>
      <c r="C133" s="1" t="s">
        <v>22</v>
      </c>
      <c r="D133">
        <v>774</v>
      </c>
      <c r="E133">
        <v>1.1200000000000001</v>
      </c>
      <c r="F133">
        <v>42.8</v>
      </c>
      <c r="G133">
        <v>12.6</v>
      </c>
      <c r="H133">
        <v>2.6</v>
      </c>
      <c r="I133">
        <v>7.4</v>
      </c>
    </row>
    <row r="134" spans="1:9">
      <c r="A134" s="1" t="s">
        <v>13</v>
      </c>
      <c r="B134" s="1">
        <v>2024</v>
      </c>
      <c r="C134" s="1" t="s">
        <v>22</v>
      </c>
      <c r="D134">
        <v>822</v>
      </c>
      <c r="E134">
        <v>0.97</v>
      </c>
      <c r="F134">
        <v>44.8</v>
      </c>
      <c r="G134">
        <v>7.1</v>
      </c>
      <c r="H134">
        <v>2.6</v>
      </c>
      <c r="I134">
        <v>9.4</v>
      </c>
    </row>
    <row r="135" spans="1:9">
      <c r="A135" s="1" t="s">
        <v>14</v>
      </c>
      <c r="B135" s="1">
        <v>2018</v>
      </c>
      <c r="C135" s="1" t="s">
        <v>22</v>
      </c>
      <c r="D135">
        <v>139</v>
      </c>
      <c r="E135">
        <v>0.61</v>
      </c>
      <c r="F135">
        <v>12.2</v>
      </c>
      <c r="G135">
        <v>9.9</v>
      </c>
      <c r="H135">
        <v>0</v>
      </c>
      <c r="I135" t="s">
        <v>20</v>
      </c>
    </row>
    <row r="136" spans="1:9">
      <c r="A136" s="1" t="s">
        <v>14</v>
      </c>
      <c r="B136" s="1">
        <v>2019</v>
      </c>
      <c r="C136" s="1" t="s">
        <v>22</v>
      </c>
      <c r="D136">
        <v>107</v>
      </c>
      <c r="E136">
        <v>0.56000000000000005</v>
      </c>
      <c r="F136">
        <v>15.9</v>
      </c>
      <c r="G136">
        <v>14.4</v>
      </c>
      <c r="H136">
        <v>0.9</v>
      </c>
      <c r="I136">
        <v>2</v>
      </c>
    </row>
    <row r="137" spans="1:9">
      <c r="A137" s="1" t="s">
        <v>14</v>
      </c>
      <c r="B137" s="1">
        <v>2020</v>
      </c>
      <c r="C137" s="1" t="s">
        <v>22</v>
      </c>
      <c r="D137">
        <v>146</v>
      </c>
      <c r="E137">
        <v>0.67</v>
      </c>
      <c r="F137">
        <v>21.9</v>
      </c>
      <c r="G137">
        <v>21.8</v>
      </c>
      <c r="H137">
        <v>0</v>
      </c>
      <c r="I137" t="s">
        <v>20</v>
      </c>
    </row>
    <row r="138" spans="1:9">
      <c r="A138" s="1" t="s">
        <v>14</v>
      </c>
      <c r="B138" s="1">
        <v>2021</v>
      </c>
      <c r="C138" s="1" t="s">
        <v>22</v>
      </c>
      <c r="D138">
        <v>130</v>
      </c>
      <c r="E138">
        <v>0.85</v>
      </c>
      <c r="F138">
        <v>16.2</v>
      </c>
      <c r="G138">
        <v>45.2</v>
      </c>
      <c r="H138">
        <v>2.2999999999999998</v>
      </c>
      <c r="I138">
        <v>115.3</v>
      </c>
    </row>
    <row r="139" spans="1:9">
      <c r="A139" s="1" t="s">
        <v>14</v>
      </c>
      <c r="B139" s="1">
        <v>2022</v>
      </c>
      <c r="C139" s="1" t="s">
        <v>22</v>
      </c>
      <c r="D139">
        <v>183</v>
      </c>
      <c r="E139">
        <v>0.65</v>
      </c>
      <c r="F139">
        <v>17.5</v>
      </c>
      <c r="G139">
        <v>8.5</v>
      </c>
      <c r="H139">
        <v>1.6</v>
      </c>
      <c r="I139">
        <v>14.7</v>
      </c>
    </row>
    <row r="140" spans="1:9">
      <c r="A140" s="1" t="s">
        <v>14</v>
      </c>
      <c r="B140" s="1">
        <v>2023</v>
      </c>
      <c r="C140" s="1" t="s">
        <v>22</v>
      </c>
      <c r="D140">
        <v>135</v>
      </c>
      <c r="E140">
        <v>0.51</v>
      </c>
      <c r="F140">
        <v>16.3</v>
      </c>
      <c r="G140">
        <v>8.5</v>
      </c>
      <c r="H140">
        <v>7.4</v>
      </c>
      <c r="I140">
        <v>4.5</v>
      </c>
    </row>
    <row r="141" spans="1:9">
      <c r="A141" s="1" t="s">
        <v>14</v>
      </c>
      <c r="B141" s="1">
        <v>2024</v>
      </c>
      <c r="C141" s="1" t="s">
        <v>22</v>
      </c>
      <c r="D141">
        <v>176</v>
      </c>
      <c r="E141">
        <v>0.55000000000000004</v>
      </c>
      <c r="F141">
        <v>18.2</v>
      </c>
      <c r="G141">
        <v>2.1</v>
      </c>
      <c r="H141">
        <v>4</v>
      </c>
      <c r="I141">
        <v>2.2999999999999998</v>
      </c>
    </row>
    <row r="142" spans="1:9">
      <c r="A142" s="1" t="s">
        <v>15</v>
      </c>
      <c r="B142" s="1">
        <v>2018</v>
      </c>
      <c r="C142" s="1" t="s">
        <v>22</v>
      </c>
      <c r="D142">
        <v>107</v>
      </c>
      <c r="E142">
        <v>1.04</v>
      </c>
      <c r="F142">
        <v>33.6</v>
      </c>
      <c r="G142">
        <v>26.9</v>
      </c>
      <c r="H142">
        <v>1.9</v>
      </c>
      <c r="I142">
        <v>4.5</v>
      </c>
    </row>
    <row r="143" spans="1:9">
      <c r="A143" s="1" t="s">
        <v>15</v>
      </c>
      <c r="B143" s="1">
        <v>2019</v>
      </c>
      <c r="C143" s="1" t="s">
        <v>22</v>
      </c>
      <c r="D143">
        <v>103</v>
      </c>
      <c r="E143">
        <v>1.05</v>
      </c>
      <c r="F143">
        <v>39.799999999999997</v>
      </c>
      <c r="G143">
        <v>27.8</v>
      </c>
      <c r="H143">
        <v>0</v>
      </c>
      <c r="I143" t="s">
        <v>20</v>
      </c>
    </row>
    <row r="144" spans="1:9">
      <c r="A144" s="1" t="s">
        <v>15</v>
      </c>
      <c r="B144" s="1">
        <v>2020</v>
      </c>
      <c r="C144" s="1" t="s">
        <v>22</v>
      </c>
      <c r="D144">
        <v>108</v>
      </c>
      <c r="E144">
        <v>0.87</v>
      </c>
      <c r="F144">
        <v>30.6</v>
      </c>
      <c r="G144">
        <v>18.8</v>
      </c>
      <c r="H144">
        <v>0</v>
      </c>
      <c r="I144" t="s">
        <v>20</v>
      </c>
    </row>
    <row r="145" spans="1:9">
      <c r="A145" s="1" t="s">
        <v>15</v>
      </c>
      <c r="B145" s="1">
        <v>2021</v>
      </c>
      <c r="C145" s="1" t="s">
        <v>22</v>
      </c>
      <c r="D145">
        <v>145</v>
      </c>
      <c r="E145">
        <v>0.78</v>
      </c>
      <c r="F145">
        <v>34.5</v>
      </c>
      <c r="G145">
        <v>13.5</v>
      </c>
      <c r="H145">
        <v>2.1</v>
      </c>
      <c r="I145">
        <v>6.3</v>
      </c>
    </row>
    <row r="146" spans="1:9">
      <c r="A146" s="1" t="s">
        <v>15</v>
      </c>
      <c r="B146" s="1">
        <v>2022</v>
      </c>
      <c r="C146" s="1" t="s">
        <v>22</v>
      </c>
      <c r="D146">
        <v>156</v>
      </c>
      <c r="E146">
        <v>1.06</v>
      </c>
      <c r="F146">
        <v>35.299999999999997</v>
      </c>
      <c r="G146">
        <v>16.8</v>
      </c>
      <c r="H146">
        <v>1.9</v>
      </c>
      <c r="I146">
        <v>11.3</v>
      </c>
    </row>
    <row r="147" spans="1:9">
      <c r="A147" s="1" t="s">
        <v>15</v>
      </c>
      <c r="B147" s="1">
        <v>2023</v>
      </c>
      <c r="C147" s="1" t="s">
        <v>22</v>
      </c>
      <c r="D147">
        <v>160</v>
      </c>
      <c r="E147">
        <v>0.77</v>
      </c>
      <c r="F147">
        <v>33.799999999999997</v>
      </c>
      <c r="G147">
        <v>10.8</v>
      </c>
      <c r="H147">
        <v>1.3</v>
      </c>
      <c r="I147">
        <v>7.5</v>
      </c>
    </row>
    <row r="148" spans="1:9">
      <c r="A148" s="1" t="s">
        <v>15</v>
      </c>
      <c r="B148" s="1">
        <v>2024</v>
      </c>
      <c r="C148" s="1" t="s">
        <v>22</v>
      </c>
      <c r="D148">
        <v>144</v>
      </c>
      <c r="E148">
        <v>0.77</v>
      </c>
      <c r="F148">
        <v>34.700000000000003</v>
      </c>
      <c r="G148">
        <v>5.0999999999999996</v>
      </c>
      <c r="H148">
        <v>0</v>
      </c>
      <c r="I148" t="s">
        <v>20</v>
      </c>
    </row>
    <row r="149" spans="1:9">
      <c r="A149" s="1" t="s">
        <v>16</v>
      </c>
      <c r="B149" s="1">
        <v>2018</v>
      </c>
      <c r="C149" s="1" t="s">
        <v>22</v>
      </c>
      <c r="D149">
        <v>335</v>
      </c>
      <c r="E149">
        <v>0.7</v>
      </c>
      <c r="F149">
        <v>22.7</v>
      </c>
      <c r="G149">
        <v>27.1</v>
      </c>
      <c r="H149">
        <v>1.5</v>
      </c>
      <c r="I149">
        <v>6</v>
      </c>
    </row>
    <row r="150" spans="1:9">
      <c r="A150" s="1" t="s">
        <v>16</v>
      </c>
      <c r="B150" s="1">
        <v>2019</v>
      </c>
      <c r="C150" s="1" t="s">
        <v>22</v>
      </c>
      <c r="D150">
        <v>333</v>
      </c>
      <c r="E150">
        <v>0.78</v>
      </c>
      <c r="F150">
        <v>27.3</v>
      </c>
      <c r="G150">
        <v>18.600000000000001</v>
      </c>
      <c r="H150">
        <v>1.5</v>
      </c>
      <c r="I150">
        <v>15.2</v>
      </c>
    </row>
    <row r="151" spans="1:9">
      <c r="A151" s="1" t="s">
        <v>16</v>
      </c>
      <c r="B151" s="1">
        <v>2020</v>
      </c>
      <c r="C151" s="1" t="s">
        <v>22</v>
      </c>
      <c r="D151">
        <v>392</v>
      </c>
      <c r="E151">
        <v>0.94</v>
      </c>
      <c r="F151">
        <v>31.4</v>
      </c>
      <c r="G151">
        <v>24</v>
      </c>
      <c r="H151">
        <v>1</v>
      </c>
      <c r="I151">
        <v>63</v>
      </c>
    </row>
    <row r="152" spans="1:9">
      <c r="A152" s="1" t="s">
        <v>16</v>
      </c>
      <c r="B152" s="1">
        <v>2021</v>
      </c>
      <c r="C152" s="1" t="s">
        <v>22</v>
      </c>
      <c r="D152">
        <v>436</v>
      </c>
      <c r="E152">
        <v>1.04</v>
      </c>
      <c r="F152">
        <v>31.4</v>
      </c>
      <c r="G152">
        <v>21.9</v>
      </c>
      <c r="H152">
        <v>1.8</v>
      </c>
      <c r="I152">
        <v>19.5</v>
      </c>
    </row>
    <row r="153" spans="1:9">
      <c r="A153" s="1" t="s">
        <v>16</v>
      </c>
      <c r="B153" s="1">
        <v>2022</v>
      </c>
      <c r="C153" s="1" t="s">
        <v>22</v>
      </c>
      <c r="D153">
        <v>564</v>
      </c>
      <c r="E153">
        <v>0.98</v>
      </c>
      <c r="F153">
        <v>36.9</v>
      </c>
      <c r="G153">
        <v>19.8</v>
      </c>
      <c r="H153">
        <v>2</v>
      </c>
      <c r="I153">
        <v>18.2</v>
      </c>
    </row>
    <row r="154" spans="1:9">
      <c r="A154" s="1" t="s">
        <v>16</v>
      </c>
      <c r="B154" s="1">
        <v>2023</v>
      </c>
      <c r="C154" s="1" t="s">
        <v>22</v>
      </c>
      <c r="D154">
        <v>481</v>
      </c>
      <c r="E154">
        <v>0.97</v>
      </c>
      <c r="F154">
        <v>37.200000000000003</v>
      </c>
      <c r="G154">
        <v>14.2</v>
      </c>
      <c r="H154">
        <v>2.2999999999999998</v>
      </c>
      <c r="I154">
        <v>7.8</v>
      </c>
    </row>
    <row r="155" spans="1:9">
      <c r="A155" s="1" t="s">
        <v>16</v>
      </c>
      <c r="B155" s="1">
        <v>2024</v>
      </c>
      <c r="C155" s="1" t="s">
        <v>22</v>
      </c>
      <c r="D155">
        <v>477</v>
      </c>
      <c r="E155">
        <v>0.83</v>
      </c>
      <c r="F155">
        <v>36.700000000000003</v>
      </c>
      <c r="G155">
        <v>5.6</v>
      </c>
      <c r="H155">
        <v>2.7</v>
      </c>
      <c r="I155">
        <v>2.2000000000000002</v>
      </c>
    </row>
    <row r="156" spans="1:9">
      <c r="A156" s="1" t="s">
        <v>17</v>
      </c>
      <c r="B156" s="1">
        <v>2018</v>
      </c>
      <c r="C156" s="1" t="s">
        <v>22</v>
      </c>
      <c r="D156">
        <v>210</v>
      </c>
      <c r="E156">
        <v>0.74</v>
      </c>
      <c r="F156">
        <v>27.1</v>
      </c>
      <c r="G156">
        <v>27.6</v>
      </c>
      <c r="H156">
        <v>4.3</v>
      </c>
      <c r="I156">
        <v>8.9</v>
      </c>
    </row>
    <row r="157" spans="1:9">
      <c r="A157" s="1" t="s">
        <v>17</v>
      </c>
      <c r="B157" s="1">
        <v>2019</v>
      </c>
      <c r="C157" s="1" t="s">
        <v>22</v>
      </c>
      <c r="D157">
        <v>219</v>
      </c>
      <c r="E157">
        <v>0.93</v>
      </c>
      <c r="F157">
        <v>34.700000000000003</v>
      </c>
      <c r="G157">
        <v>33.200000000000003</v>
      </c>
      <c r="H157">
        <v>2.7</v>
      </c>
      <c r="I157">
        <v>5.8</v>
      </c>
    </row>
    <row r="158" spans="1:9">
      <c r="A158" s="1" t="s">
        <v>17</v>
      </c>
      <c r="B158" s="1">
        <v>2020</v>
      </c>
      <c r="C158" s="1" t="s">
        <v>22</v>
      </c>
      <c r="D158">
        <v>329</v>
      </c>
      <c r="E158">
        <v>1.35</v>
      </c>
      <c r="F158">
        <v>48</v>
      </c>
      <c r="G158">
        <v>37.299999999999997</v>
      </c>
      <c r="H158">
        <v>0.6</v>
      </c>
      <c r="I158">
        <v>14.5</v>
      </c>
    </row>
    <row r="159" spans="1:9">
      <c r="A159" s="1" t="s">
        <v>17</v>
      </c>
      <c r="B159" s="1">
        <v>2021</v>
      </c>
      <c r="C159" s="1" t="s">
        <v>22</v>
      </c>
      <c r="D159">
        <v>454</v>
      </c>
      <c r="E159">
        <v>1.28</v>
      </c>
      <c r="F159">
        <v>52.9</v>
      </c>
      <c r="G159">
        <v>27.2</v>
      </c>
      <c r="H159">
        <v>1.5</v>
      </c>
      <c r="I159">
        <v>16.399999999999999</v>
      </c>
    </row>
    <row r="160" spans="1:9">
      <c r="A160" s="1" t="s">
        <v>17</v>
      </c>
      <c r="B160" s="1">
        <v>2022</v>
      </c>
      <c r="C160" s="1" t="s">
        <v>22</v>
      </c>
      <c r="D160">
        <v>450</v>
      </c>
      <c r="E160">
        <v>1.6</v>
      </c>
      <c r="F160">
        <v>61.8</v>
      </c>
      <c r="G160">
        <v>22.2</v>
      </c>
      <c r="H160">
        <v>2.7</v>
      </c>
      <c r="I160">
        <v>15.8</v>
      </c>
    </row>
    <row r="161" spans="1:9">
      <c r="A161" s="1" t="s">
        <v>17</v>
      </c>
      <c r="B161" s="1">
        <v>2023</v>
      </c>
      <c r="C161" s="1" t="s">
        <v>22</v>
      </c>
      <c r="D161">
        <v>375</v>
      </c>
      <c r="E161">
        <v>1.31</v>
      </c>
      <c r="F161">
        <v>61.1</v>
      </c>
      <c r="G161">
        <v>13.4</v>
      </c>
      <c r="H161">
        <v>1.3</v>
      </c>
      <c r="I161">
        <v>5.2</v>
      </c>
    </row>
    <row r="162" spans="1:9">
      <c r="A162" s="1" t="s">
        <v>17</v>
      </c>
      <c r="B162" s="1">
        <v>2024</v>
      </c>
      <c r="C162" s="1" t="s">
        <v>22</v>
      </c>
      <c r="D162">
        <v>379</v>
      </c>
      <c r="E162">
        <v>1.1599999999999999</v>
      </c>
      <c r="F162">
        <v>50.4</v>
      </c>
      <c r="G162">
        <v>5.8</v>
      </c>
      <c r="H162">
        <v>1.3</v>
      </c>
      <c r="I162">
        <v>0.8</v>
      </c>
    </row>
    <row r="163" spans="1:9">
      <c r="A163" s="1" t="s">
        <v>74</v>
      </c>
      <c r="B163" s="1">
        <v>2018</v>
      </c>
      <c r="C163" s="1" t="s">
        <v>22</v>
      </c>
      <c r="D163">
        <v>621</v>
      </c>
      <c r="E163">
        <v>1</v>
      </c>
      <c r="F163">
        <v>30.8</v>
      </c>
      <c r="G163">
        <v>31.2</v>
      </c>
      <c r="H163">
        <v>0.5</v>
      </c>
      <c r="I163">
        <v>21.7</v>
      </c>
    </row>
    <row r="164" spans="1:9">
      <c r="A164" s="1" t="s">
        <v>74</v>
      </c>
      <c r="B164" s="1">
        <v>2019</v>
      </c>
      <c r="C164" s="1" t="s">
        <v>22</v>
      </c>
      <c r="D164">
        <v>689</v>
      </c>
      <c r="E164">
        <v>1.1200000000000001</v>
      </c>
      <c r="F164">
        <v>38.299999999999997</v>
      </c>
      <c r="G164">
        <v>32.9</v>
      </c>
      <c r="H164">
        <v>1.9</v>
      </c>
      <c r="I164">
        <v>8.6999999999999993</v>
      </c>
    </row>
    <row r="165" spans="1:9">
      <c r="A165" s="1" t="s">
        <v>74</v>
      </c>
      <c r="B165" s="1">
        <v>2020</v>
      </c>
      <c r="C165" s="1" t="s">
        <v>22</v>
      </c>
      <c r="D165">
        <v>746</v>
      </c>
      <c r="E165">
        <v>1.0900000000000001</v>
      </c>
      <c r="F165">
        <v>39</v>
      </c>
      <c r="G165">
        <v>29.1</v>
      </c>
      <c r="H165">
        <v>1.5</v>
      </c>
      <c r="I165">
        <v>29.7</v>
      </c>
    </row>
    <row r="166" spans="1:9">
      <c r="A166" s="1" t="s">
        <v>74</v>
      </c>
      <c r="B166" s="1">
        <v>2021</v>
      </c>
      <c r="C166" s="1" t="s">
        <v>22</v>
      </c>
      <c r="D166">
        <v>853</v>
      </c>
      <c r="E166">
        <v>1.21</v>
      </c>
      <c r="F166">
        <v>39.200000000000003</v>
      </c>
      <c r="G166">
        <v>24.5</v>
      </c>
      <c r="H166">
        <v>2.7</v>
      </c>
      <c r="I166">
        <v>22.7</v>
      </c>
    </row>
    <row r="167" spans="1:9">
      <c r="A167" s="1" t="s">
        <v>74</v>
      </c>
      <c r="B167" s="1">
        <v>2022</v>
      </c>
      <c r="C167" s="1" t="s">
        <v>22</v>
      </c>
      <c r="D167">
        <v>804</v>
      </c>
      <c r="E167">
        <v>1.1100000000000001</v>
      </c>
      <c r="F167">
        <v>37.299999999999997</v>
      </c>
      <c r="G167">
        <v>20.100000000000001</v>
      </c>
      <c r="H167">
        <v>2.4</v>
      </c>
      <c r="I167">
        <v>18</v>
      </c>
    </row>
    <row r="168" spans="1:9">
      <c r="A168" s="1" t="s">
        <v>74</v>
      </c>
      <c r="B168" s="1">
        <v>2023</v>
      </c>
      <c r="C168" s="1" t="s">
        <v>22</v>
      </c>
      <c r="D168">
        <v>769</v>
      </c>
      <c r="E168">
        <v>1.1100000000000001</v>
      </c>
      <c r="F168">
        <v>42.7</v>
      </c>
      <c r="G168">
        <v>12.6</v>
      </c>
      <c r="H168">
        <v>2.2999999999999998</v>
      </c>
      <c r="I168">
        <v>10.8</v>
      </c>
    </row>
    <row r="169" spans="1:9">
      <c r="A169" s="1" t="s">
        <v>74</v>
      </c>
      <c r="B169" s="1">
        <v>2024</v>
      </c>
      <c r="C169" s="1" t="s">
        <v>22</v>
      </c>
      <c r="D169">
        <v>825</v>
      </c>
      <c r="E169">
        <v>1.0900000000000001</v>
      </c>
      <c r="F169">
        <v>43.2</v>
      </c>
      <c r="G169">
        <v>6</v>
      </c>
      <c r="H169">
        <v>2.4</v>
      </c>
      <c r="I169">
        <v>6.9</v>
      </c>
    </row>
    <row r="170" spans="1:9">
      <c r="A170" s="1" t="s">
        <v>13</v>
      </c>
      <c r="B170" s="1">
        <v>2018</v>
      </c>
      <c r="C170" s="1" t="s">
        <v>21</v>
      </c>
      <c r="D170">
        <v>101</v>
      </c>
      <c r="E170">
        <v>0.98</v>
      </c>
      <c r="F170">
        <v>20.8</v>
      </c>
      <c r="G170">
        <v>26.2</v>
      </c>
      <c r="H170">
        <v>4</v>
      </c>
      <c r="I170">
        <v>13</v>
      </c>
    </row>
    <row r="171" spans="1:9">
      <c r="A171" s="1" t="s">
        <v>13</v>
      </c>
      <c r="B171" s="1">
        <v>2019</v>
      </c>
      <c r="C171" s="1" t="s">
        <v>21</v>
      </c>
      <c r="D171">
        <v>132</v>
      </c>
      <c r="E171">
        <v>1.1299999999999999</v>
      </c>
      <c r="F171">
        <v>37.1</v>
      </c>
      <c r="G171">
        <v>28.5</v>
      </c>
      <c r="H171">
        <v>4.5</v>
      </c>
      <c r="I171">
        <v>21.5</v>
      </c>
    </row>
    <row r="172" spans="1:9">
      <c r="A172" s="1" t="s">
        <v>13</v>
      </c>
      <c r="B172" s="1">
        <v>2020</v>
      </c>
      <c r="C172" s="1" t="s">
        <v>76</v>
      </c>
      <c r="D172">
        <v>170</v>
      </c>
      <c r="E172">
        <v>1.26</v>
      </c>
      <c r="F172">
        <v>38.200000000000003</v>
      </c>
      <c r="G172">
        <v>45.2</v>
      </c>
      <c r="H172">
        <v>4.7</v>
      </c>
      <c r="I172">
        <v>31.9</v>
      </c>
    </row>
    <row r="173" spans="1:9">
      <c r="A173" s="1" t="s">
        <v>13</v>
      </c>
      <c r="B173" s="1">
        <v>2021</v>
      </c>
      <c r="C173" s="1" t="s">
        <v>21</v>
      </c>
      <c r="D173">
        <v>189</v>
      </c>
      <c r="E173">
        <v>1.1100000000000001</v>
      </c>
      <c r="F173">
        <v>45</v>
      </c>
      <c r="G173">
        <v>31.2</v>
      </c>
      <c r="H173">
        <v>1.6</v>
      </c>
      <c r="I173">
        <v>27</v>
      </c>
    </row>
    <row r="174" spans="1:9">
      <c r="A174" s="1" t="s">
        <v>13</v>
      </c>
      <c r="B174" s="1">
        <v>2022</v>
      </c>
      <c r="C174" s="1" t="s">
        <v>21</v>
      </c>
      <c r="D174">
        <v>229</v>
      </c>
      <c r="E174">
        <v>1</v>
      </c>
      <c r="F174">
        <v>43.7</v>
      </c>
      <c r="G174">
        <v>16.7</v>
      </c>
      <c r="H174">
        <v>3.5</v>
      </c>
      <c r="I174">
        <v>22.1</v>
      </c>
    </row>
    <row r="175" spans="1:9">
      <c r="A175" s="1" t="s">
        <v>13</v>
      </c>
      <c r="B175" s="1">
        <v>2023</v>
      </c>
      <c r="C175" s="1" t="s">
        <v>21</v>
      </c>
      <c r="D175">
        <v>173</v>
      </c>
      <c r="E175">
        <v>1.34</v>
      </c>
      <c r="F175">
        <v>41.6</v>
      </c>
      <c r="G175">
        <v>11.2</v>
      </c>
      <c r="H175">
        <v>1.7</v>
      </c>
      <c r="I175">
        <v>6</v>
      </c>
    </row>
    <row r="176" spans="1:9">
      <c r="A176" s="1" t="s">
        <v>13</v>
      </c>
      <c r="B176" s="1">
        <v>2024</v>
      </c>
      <c r="C176" s="1" t="s">
        <v>21</v>
      </c>
      <c r="D176">
        <v>202</v>
      </c>
      <c r="E176">
        <v>0.92</v>
      </c>
      <c r="F176">
        <v>42.6</v>
      </c>
      <c r="G176">
        <v>4.7</v>
      </c>
      <c r="H176">
        <v>2.5</v>
      </c>
      <c r="I176">
        <v>4</v>
      </c>
    </row>
    <row r="177" spans="1:9">
      <c r="A177" s="1" t="s">
        <v>14</v>
      </c>
      <c r="B177" s="1">
        <v>2018</v>
      </c>
      <c r="C177" s="1" t="s">
        <v>21</v>
      </c>
      <c r="D177">
        <v>42</v>
      </c>
      <c r="E177">
        <v>0.56000000000000005</v>
      </c>
      <c r="F177">
        <v>4.8</v>
      </c>
      <c r="G177">
        <v>31</v>
      </c>
      <c r="H177">
        <v>0</v>
      </c>
      <c r="I177" t="s">
        <v>20</v>
      </c>
    </row>
    <row r="178" spans="1:9">
      <c r="A178" s="1" t="s">
        <v>14</v>
      </c>
      <c r="B178" s="1">
        <v>2019</v>
      </c>
      <c r="C178" s="1" t="s">
        <v>21</v>
      </c>
      <c r="D178">
        <v>31</v>
      </c>
      <c r="E178">
        <v>0.64</v>
      </c>
      <c r="F178">
        <v>25.8</v>
      </c>
      <c r="G178">
        <v>5.9</v>
      </c>
      <c r="H178">
        <v>0</v>
      </c>
      <c r="I178" t="s">
        <v>20</v>
      </c>
    </row>
    <row r="179" spans="1:9">
      <c r="A179" s="1" t="s">
        <v>14</v>
      </c>
      <c r="B179" s="1">
        <v>2020</v>
      </c>
      <c r="C179" s="1" t="s">
        <v>21</v>
      </c>
      <c r="D179">
        <v>28</v>
      </c>
      <c r="E179">
        <v>0.98</v>
      </c>
      <c r="F179">
        <v>28.6</v>
      </c>
      <c r="G179">
        <v>7.6</v>
      </c>
      <c r="H179">
        <v>0</v>
      </c>
      <c r="I179" t="s">
        <v>20</v>
      </c>
    </row>
    <row r="180" spans="1:9">
      <c r="A180" s="1" t="s">
        <v>14</v>
      </c>
      <c r="B180" s="1">
        <v>2021</v>
      </c>
      <c r="C180" s="1" t="s">
        <v>21</v>
      </c>
      <c r="D180">
        <v>20</v>
      </c>
      <c r="E180">
        <v>0.54</v>
      </c>
      <c r="F180">
        <v>25</v>
      </c>
      <c r="G180">
        <v>14</v>
      </c>
      <c r="H180">
        <v>0</v>
      </c>
      <c r="I180" t="s">
        <v>20</v>
      </c>
    </row>
    <row r="181" spans="1:9">
      <c r="A181" s="1" t="s">
        <v>14</v>
      </c>
      <c r="B181" s="1">
        <v>2022</v>
      </c>
      <c r="C181" s="1" t="s">
        <v>21</v>
      </c>
      <c r="D181">
        <v>36</v>
      </c>
      <c r="E181">
        <v>0.96</v>
      </c>
      <c r="F181">
        <v>16.7</v>
      </c>
      <c r="G181">
        <v>9.5</v>
      </c>
      <c r="H181">
        <v>0</v>
      </c>
      <c r="I181" t="s">
        <v>20</v>
      </c>
    </row>
    <row r="182" spans="1:9">
      <c r="A182" s="1" t="s">
        <v>14</v>
      </c>
      <c r="B182" s="1">
        <v>2023</v>
      </c>
      <c r="C182" s="1" t="s">
        <v>21</v>
      </c>
      <c r="D182">
        <v>35</v>
      </c>
      <c r="E182">
        <v>0.94</v>
      </c>
      <c r="F182">
        <v>22.9</v>
      </c>
      <c r="G182">
        <v>11.1</v>
      </c>
      <c r="H182">
        <v>2.9</v>
      </c>
      <c r="I182">
        <v>8</v>
      </c>
    </row>
    <row r="183" spans="1:9">
      <c r="A183" s="1" t="s">
        <v>14</v>
      </c>
      <c r="B183" s="1">
        <v>2024</v>
      </c>
      <c r="C183" s="1" t="s">
        <v>21</v>
      </c>
      <c r="D183">
        <v>31</v>
      </c>
      <c r="E183">
        <v>0.94</v>
      </c>
      <c r="F183">
        <v>25.8</v>
      </c>
      <c r="G183">
        <v>2.9</v>
      </c>
      <c r="H183">
        <v>3.2</v>
      </c>
      <c r="I183" t="s">
        <v>20</v>
      </c>
    </row>
    <row r="184" spans="1:9">
      <c r="A184" s="1" t="s">
        <v>15</v>
      </c>
      <c r="B184" s="1">
        <v>2018</v>
      </c>
      <c r="C184" s="1" t="s">
        <v>21</v>
      </c>
      <c r="D184">
        <v>60</v>
      </c>
      <c r="E184">
        <v>0.71</v>
      </c>
      <c r="F184">
        <v>40</v>
      </c>
      <c r="G184">
        <v>23.3</v>
      </c>
      <c r="H184">
        <v>1.7</v>
      </c>
      <c r="I184">
        <v>5</v>
      </c>
    </row>
    <row r="185" spans="1:9">
      <c r="A185" s="1" t="s">
        <v>15</v>
      </c>
      <c r="B185" s="1">
        <v>2019</v>
      </c>
      <c r="C185" s="1" t="s">
        <v>21</v>
      </c>
      <c r="D185">
        <v>85</v>
      </c>
      <c r="E185">
        <v>1</v>
      </c>
      <c r="F185">
        <v>25.9</v>
      </c>
      <c r="G185">
        <v>23.7</v>
      </c>
      <c r="H185">
        <v>0</v>
      </c>
      <c r="I185" t="s">
        <v>20</v>
      </c>
    </row>
    <row r="186" spans="1:9">
      <c r="A186" s="1" t="s">
        <v>15</v>
      </c>
      <c r="B186" s="1">
        <v>2020</v>
      </c>
      <c r="C186" s="1" t="s">
        <v>21</v>
      </c>
      <c r="D186">
        <v>70</v>
      </c>
      <c r="E186">
        <v>1.33</v>
      </c>
      <c r="F186">
        <v>24.3</v>
      </c>
      <c r="G186">
        <v>15.4</v>
      </c>
      <c r="H186">
        <v>0</v>
      </c>
      <c r="I186" t="s">
        <v>20</v>
      </c>
    </row>
    <row r="187" spans="1:9">
      <c r="A187" s="1" t="s">
        <v>15</v>
      </c>
      <c r="B187" s="1">
        <v>2021</v>
      </c>
      <c r="C187" s="1" t="s">
        <v>21</v>
      </c>
      <c r="D187">
        <v>79</v>
      </c>
      <c r="E187">
        <v>0.91</v>
      </c>
      <c r="F187">
        <v>45.6</v>
      </c>
      <c r="G187">
        <v>16</v>
      </c>
      <c r="H187">
        <v>0</v>
      </c>
      <c r="I187" t="s">
        <v>20</v>
      </c>
    </row>
    <row r="188" spans="1:9">
      <c r="A188" s="1" t="s">
        <v>15</v>
      </c>
      <c r="B188" s="1">
        <v>2022</v>
      </c>
      <c r="C188" s="1" t="s">
        <v>21</v>
      </c>
      <c r="D188">
        <v>107</v>
      </c>
      <c r="E188">
        <v>0.98</v>
      </c>
      <c r="F188">
        <v>52.3</v>
      </c>
      <c r="G188">
        <v>11.8</v>
      </c>
      <c r="H188">
        <v>0</v>
      </c>
      <c r="I188" t="s">
        <v>20</v>
      </c>
    </row>
    <row r="189" spans="1:9">
      <c r="A189" s="1" t="s">
        <v>15</v>
      </c>
      <c r="B189" s="1">
        <v>2023</v>
      </c>
      <c r="C189" s="1" t="s">
        <v>21</v>
      </c>
      <c r="D189">
        <v>88</v>
      </c>
      <c r="E189">
        <v>0.72</v>
      </c>
      <c r="F189">
        <v>42</v>
      </c>
      <c r="G189">
        <v>6.6</v>
      </c>
      <c r="H189">
        <v>0</v>
      </c>
      <c r="I189" t="s">
        <v>20</v>
      </c>
    </row>
    <row r="190" spans="1:9">
      <c r="A190" s="1" t="s">
        <v>15</v>
      </c>
      <c r="B190" s="1">
        <v>2024</v>
      </c>
      <c r="C190" s="1" t="s">
        <v>21</v>
      </c>
      <c r="D190">
        <v>86</v>
      </c>
      <c r="E190">
        <v>0.92</v>
      </c>
      <c r="F190">
        <v>36</v>
      </c>
      <c r="G190">
        <v>2.9</v>
      </c>
      <c r="H190">
        <v>0</v>
      </c>
      <c r="I190" t="s">
        <v>20</v>
      </c>
    </row>
    <row r="191" spans="1:9">
      <c r="A191" s="1" t="s">
        <v>16</v>
      </c>
      <c r="B191" s="1">
        <v>2018</v>
      </c>
      <c r="C191" s="1" t="s">
        <v>21</v>
      </c>
      <c r="D191">
        <v>141</v>
      </c>
      <c r="E191">
        <v>0.99</v>
      </c>
      <c r="F191">
        <v>30.5</v>
      </c>
      <c r="G191">
        <v>27.6</v>
      </c>
      <c r="H191">
        <v>2.1</v>
      </c>
      <c r="I191">
        <v>3.3</v>
      </c>
    </row>
    <row r="192" spans="1:9">
      <c r="A192" s="1" t="s">
        <v>16</v>
      </c>
      <c r="B192" s="1">
        <v>2019</v>
      </c>
      <c r="C192" s="1" t="s">
        <v>21</v>
      </c>
      <c r="D192">
        <v>173</v>
      </c>
      <c r="E192">
        <v>1.2</v>
      </c>
      <c r="F192">
        <v>32.9</v>
      </c>
      <c r="G192">
        <v>41.9</v>
      </c>
      <c r="H192">
        <v>1.7</v>
      </c>
      <c r="I192">
        <v>6.3</v>
      </c>
    </row>
    <row r="193" spans="1:9">
      <c r="A193" s="1" t="s">
        <v>16</v>
      </c>
      <c r="B193" s="1">
        <v>2020</v>
      </c>
      <c r="C193" s="1" t="s">
        <v>21</v>
      </c>
      <c r="D193">
        <v>219</v>
      </c>
      <c r="E193">
        <v>1.1499999999999999</v>
      </c>
      <c r="F193">
        <v>42</v>
      </c>
      <c r="G193">
        <v>39.1</v>
      </c>
      <c r="H193">
        <v>1.4</v>
      </c>
      <c r="I193">
        <v>3.3</v>
      </c>
    </row>
    <row r="194" spans="1:9">
      <c r="A194" s="1" t="s">
        <v>16</v>
      </c>
      <c r="B194" s="1">
        <v>2021</v>
      </c>
      <c r="C194" s="1" t="s">
        <v>21</v>
      </c>
      <c r="D194">
        <v>220</v>
      </c>
      <c r="E194">
        <v>1.34</v>
      </c>
      <c r="F194">
        <v>42.3</v>
      </c>
      <c r="G194">
        <v>44.3</v>
      </c>
      <c r="H194">
        <v>0.5</v>
      </c>
      <c r="I194">
        <v>47</v>
      </c>
    </row>
    <row r="195" spans="1:9">
      <c r="A195" s="1" t="s">
        <v>16</v>
      </c>
      <c r="B195" s="1">
        <v>2022</v>
      </c>
      <c r="C195" s="1" t="s">
        <v>21</v>
      </c>
      <c r="D195">
        <v>302</v>
      </c>
      <c r="E195">
        <v>1.47</v>
      </c>
      <c r="F195">
        <v>42.1</v>
      </c>
      <c r="G195">
        <v>41.7</v>
      </c>
      <c r="H195">
        <v>1.7</v>
      </c>
      <c r="I195">
        <v>13.6</v>
      </c>
    </row>
    <row r="196" spans="1:9">
      <c r="A196" s="1" t="s">
        <v>16</v>
      </c>
      <c r="B196" s="1">
        <v>2023</v>
      </c>
      <c r="C196" s="1" t="s">
        <v>21</v>
      </c>
      <c r="D196">
        <v>271</v>
      </c>
      <c r="E196">
        <v>1.41</v>
      </c>
      <c r="F196">
        <v>46.5</v>
      </c>
      <c r="G196">
        <v>23</v>
      </c>
      <c r="H196">
        <v>1.5</v>
      </c>
      <c r="I196">
        <v>10</v>
      </c>
    </row>
    <row r="197" spans="1:9">
      <c r="A197" s="1" t="s">
        <v>16</v>
      </c>
      <c r="B197" s="1">
        <v>2024</v>
      </c>
      <c r="C197" s="1" t="s">
        <v>21</v>
      </c>
      <c r="D197">
        <v>327</v>
      </c>
      <c r="E197">
        <v>1.37</v>
      </c>
      <c r="F197">
        <v>44.6</v>
      </c>
      <c r="G197">
        <v>6.6</v>
      </c>
      <c r="H197">
        <v>0.6</v>
      </c>
      <c r="I197">
        <v>5</v>
      </c>
    </row>
    <row r="198" spans="1:9">
      <c r="A198" s="1" t="s">
        <v>17</v>
      </c>
      <c r="B198" s="1">
        <v>2018</v>
      </c>
      <c r="C198" s="1" t="s">
        <v>21</v>
      </c>
      <c r="D198">
        <v>102</v>
      </c>
      <c r="E198">
        <v>0.86</v>
      </c>
      <c r="F198">
        <v>23.5</v>
      </c>
      <c r="G198">
        <v>26.6</v>
      </c>
      <c r="H198">
        <v>1</v>
      </c>
      <c r="I198">
        <v>10</v>
      </c>
    </row>
    <row r="199" spans="1:9">
      <c r="A199" s="1" t="s">
        <v>17</v>
      </c>
      <c r="B199" s="1">
        <v>2019</v>
      </c>
      <c r="C199" s="1" t="s">
        <v>21</v>
      </c>
      <c r="D199">
        <v>153</v>
      </c>
      <c r="E199">
        <v>1.1299999999999999</v>
      </c>
      <c r="F199">
        <v>30.1</v>
      </c>
      <c r="G199">
        <v>26.3</v>
      </c>
      <c r="H199">
        <v>0</v>
      </c>
      <c r="I199" t="s">
        <v>20</v>
      </c>
    </row>
    <row r="200" spans="1:9">
      <c r="A200" s="1" t="s">
        <v>17</v>
      </c>
      <c r="B200" s="1">
        <v>2020</v>
      </c>
      <c r="C200" s="1" t="s">
        <v>21</v>
      </c>
      <c r="D200">
        <v>144</v>
      </c>
      <c r="E200">
        <v>1.1599999999999999</v>
      </c>
      <c r="F200">
        <v>45.1</v>
      </c>
      <c r="G200">
        <v>33.5</v>
      </c>
      <c r="H200">
        <v>0</v>
      </c>
      <c r="I200" t="s">
        <v>20</v>
      </c>
    </row>
    <row r="201" spans="1:9">
      <c r="A201" s="1" t="s">
        <v>17</v>
      </c>
      <c r="B201" s="1">
        <v>2021</v>
      </c>
      <c r="C201" s="1" t="s">
        <v>21</v>
      </c>
      <c r="D201">
        <v>157</v>
      </c>
      <c r="E201">
        <v>1.39</v>
      </c>
      <c r="F201">
        <v>50.3</v>
      </c>
      <c r="G201">
        <v>31.2</v>
      </c>
      <c r="H201">
        <v>0.6</v>
      </c>
      <c r="I201">
        <v>49</v>
      </c>
    </row>
    <row r="202" spans="1:9">
      <c r="A202" s="1" t="s">
        <v>17</v>
      </c>
      <c r="B202" s="1">
        <v>2022</v>
      </c>
      <c r="C202" s="1" t="s">
        <v>21</v>
      </c>
      <c r="D202">
        <v>191</v>
      </c>
      <c r="E202">
        <v>1.73</v>
      </c>
      <c r="F202">
        <v>50.8</v>
      </c>
      <c r="G202">
        <v>25.7</v>
      </c>
      <c r="H202">
        <v>1</v>
      </c>
      <c r="I202">
        <v>21.5</v>
      </c>
    </row>
    <row r="203" spans="1:9">
      <c r="A203" s="1" t="s">
        <v>17</v>
      </c>
      <c r="B203" s="1">
        <v>2023</v>
      </c>
      <c r="C203" s="1" t="s">
        <v>21</v>
      </c>
      <c r="D203">
        <v>186</v>
      </c>
      <c r="E203">
        <v>1.27</v>
      </c>
      <c r="F203">
        <v>47.3</v>
      </c>
      <c r="G203">
        <v>12.7</v>
      </c>
      <c r="H203">
        <v>0.5</v>
      </c>
      <c r="I203">
        <v>5</v>
      </c>
    </row>
    <row r="204" spans="1:9">
      <c r="A204" s="1" t="s">
        <v>17</v>
      </c>
      <c r="B204" s="1">
        <v>2024</v>
      </c>
      <c r="C204" s="1" t="s">
        <v>21</v>
      </c>
      <c r="D204">
        <v>154</v>
      </c>
      <c r="E204">
        <v>2.21</v>
      </c>
      <c r="F204">
        <v>46.8</v>
      </c>
      <c r="G204">
        <v>6.8</v>
      </c>
      <c r="H204">
        <v>1.3</v>
      </c>
      <c r="I204">
        <v>7.5</v>
      </c>
    </row>
    <row r="205" spans="1:9">
      <c r="A205" s="1" t="s">
        <v>74</v>
      </c>
      <c r="B205" s="1">
        <v>2018</v>
      </c>
      <c r="C205" s="1" t="s">
        <v>21</v>
      </c>
      <c r="D205">
        <v>180</v>
      </c>
      <c r="E205">
        <v>1.99</v>
      </c>
      <c r="F205">
        <v>33.299999999999997</v>
      </c>
      <c r="G205">
        <v>57.3</v>
      </c>
      <c r="H205">
        <v>2.8</v>
      </c>
      <c r="I205">
        <v>21.4</v>
      </c>
    </row>
    <row r="206" spans="1:9">
      <c r="A206" s="1" t="s">
        <v>74</v>
      </c>
      <c r="B206" s="1">
        <v>2019</v>
      </c>
      <c r="C206" s="1" t="s">
        <v>21</v>
      </c>
      <c r="D206">
        <v>234</v>
      </c>
      <c r="E206">
        <v>1.49</v>
      </c>
      <c r="F206">
        <v>44.9</v>
      </c>
      <c r="G206">
        <v>35.200000000000003</v>
      </c>
      <c r="H206">
        <v>0.9</v>
      </c>
      <c r="I206">
        <v>38</v>
      </c>
    </row>
    <row r="207" spans="1:9">
      <c r="A207" s="1" t="s">
        <v>74</v>
      </c>
      <c r="B207" s="1">
        <v>2020</v>
      </c>
      <c r="C207" s="1" t="s">
        <v>21</v>
      </c>
      <c r="D207">
        <v>239</v>
      </c>
      <c r="E207">
        <v>1.85</v>
      </c>
      <c r="F207">
        <v>50.6</v>
      </c>
      <c r="G207">
        <v>46.5</v>
      </c>
      <c r="H207">
        <v>0.8</v>
      </c>
      <c r="I207">
        <v>17</v>
      </c>
    </row>
    <row r="208" spans="1:9">
      <c r="A208" s="1" t="s">
        <v>74</v>
      </c>
      <c r="B208" s="1">
        <v>2021</v>
      </c>
      <c r="C208" s="1" t="s">
        <v>21</v>
      </c>
      <c r="D208">
        <v>242</v>
      </c>
      <c r="E208">
        <v>1.37</v>
      </c>
      <c r="F208">
        <v>44.6</v>
      </c>
      <c r="G208">
        <v>23</v>
      </c>
      <c r="H208">
        <v>1.2</v>
      </c>
      <c r="I208">
        <v>16.7</v>
      </c>
    </row>
    <row r="209" spans="1:9">
      <c r="A209" s="1" t="s">
        <v>74</v>
      </c>
      <c r="B209" s="1">
        <v>2022</v>
      </c>
      <c r="C209" s="1" t="s">
        <v>21</v>
      </c>
      <c r="D209">
        <v>257</v>
      </c>
      <c r="E209">
        <v>1.87</v>
      </c>
      <c r="F209">
        <v>40.9</v>
      </c>
      <c r="G209">
        <v>20.100000000000001</v>
      </c>
      <c r="H209">
        <v>0.4</v>
      </c>
      <c r="I209">
        <v>4</v>
      </c>
    </row>
    <row r="210" spans="1:9">
      <c r="A210" s="1" t="s">
        <v>74</v>
      </c>
      <c r="B210" s="1">
        <v>2023</v>
      </c>
      <c r="C210" s="1" t="s">
        <v>21</v>
      </c>
      <c r="D210">
        <v>305</v>
      </c>
      <c r="E210">
        <v>1.9</v>
      </c>
      <c r="F210">
        <v>40.700000000000003</v>
      </c>
      <c r="G210">
        <v>14</v>
      </c>
      <c r="H210">
        <v>0.7</v>
      </c>
      <c r="I210">
        <v>13</v>
      </c>
    </row>
    <row r="211" spans="1:9">
      <c r="A211" s="1" t="s">
        <v>74</v>
      </c>
      <c r="B211" s="1">
        <v>2024</v>
      </c>
      <c r="C211" s="1" t="s">
        <v>21</v>
      </c>
      <c r="D211">
        <v>294</v>
      </c>
      <c r="E211">
        <v>1.6</v>
      </c>
      <c r="F211">
        <v>41.2</v>
      </c>
      <c r="G211">
        <v>6.2</v>
      </c>
      <c r="H211">
        <v>0.7</v>
      </c>
      <c r="I211">
        <v>11.5</v>
      </c>
    </row>
  </sheetData>
  <autoFilter ref="A1:I1" xr:uid="{B165B363-E310-4BE3-8C98-BD6E3192D2EB}">
    <sortState ref="A2:I211">
      <sortCondition ref="C1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B93D9-D423-441A-8134-73493057276C}">
  <dimension ref="A1:K19"/>
  <sheetViews>
    <sheetView tabSelected="1" workbookViewId="0">
      <selection sqref="A1:XFD1048576"/>
    </sheetView>
  </sheetViews>
  <sheetFormatPr defaultColWidth="8.8984375" defaultRowHeight="15.6"/>
  <cols>
    <col min="1" max="1" width="12.3984375" style="1" customWidth="1"/>
    <col min="2" max="2" width="13.59765625" style="1" bestFit="1" customWidth="1"/>
    <col min="3" max="3" width="21.09765625" style="1" bestFit="1" customWidth="1"/>
    <col min="4" max="4" width="8.69921875" style="1" customWidth="1"/>
    <col min="5" max="5" width="2.3984375" style="9" customWidth="1"/>
    <col min="6" max="6" width="22.69921875" style="3" bestFit="1" customWidth="1"/>
    <col min="7" max="7" width="80.69921875" style="35" customWidth="1"/>
    <col min="8" max="8" width="2.296875" style="9" customWidth="1"/>
    <col min="9" max="16384" width="8.8984375" style="1"/>
  </cols>
  <sheetData>
    <row r="1" spans="1:11">
      <c r="A1" s="1" t="s">
        <v>35</v>
      </c>
      <c r="C1" s="1" t="s">
        <v>36</v>
      </c>
      <c r="F1" s="24" t="s">
        <v>43</v>
      </c>
      <c r="G1" s="34" t="s">
        <v>129</v>
      </c>
      <c r="H1" s="11"/>
    </row>
    <row r="2" spans="1:11" ht="46.8">
      <c r="A2" s="1" t="s">
        <v>81</v>
      </c>
      <c r="B2" s="12" t="s">
        <v>71</v>
      </c>
      <c r="C2" s="21" t="s">
        <v>82</v>
      </c>
      <c r="D2" s="21"/>
      <c r="F2" s="22" t="s">
        <v>4</v>
      </c>
      <c r="G2" s="5" t="s">
        <v>84</v>
      </c>
      <c r="H2" s="11"/>
    </row>
    <row r="3" spans="1:11">
      <c r="A3" s="1" t="s">
        <v>81</v>
      </c>
      <c r="B3" s="10" t="s">
        <v>34</v>
      </c>
      <c r="C3" s="21"/>
      <c r="D3" s="21"/>
      <c r="F3" s="22" t="s">
        <v>3</v>
      </c>
      <c r="G3" s="23" t="s">
        <v>44</v>
      </c>
      <c r="H3" s="11"/>
    </row>
    <row r="4" spans="1:11" ht="31.2">
      <c r="A4" s="1" t="s">
        <v>81</v>
      </c>
      <c r="B4" s="10" t="s">
        <v>42</v>
      </c>
      <c r="C4" s="21"/>
      <c r="D4" s="21"/>
      <c r="F4" s="4" t="s">
        <v>8</v>
      </c>
      <c r="G4" s="5" t="s">
        <v>46</v>
      </c>
      <c r="H4" s="11"/>
    </row>
    <row r="5" spans="1:11">
      <c r="F5" s="4" t="s">
        <v>9</v>
      </c>
      <c r="G5" s="5" t="s">
        <v>138</v>
      </c>
      <c r="H5" s="11"/>
    </row>
    <row r="6" spans="1:11">
      <c r="F6" s="4" t="s">
        <v>49</v>
      </c>
      <c r="G6" s="5" t="s">
        <v>137</v>
      </c>
      <c r="H6" s="11"/>
      <c r="I6" s="8"/>
    </row>
    <row r="7" spans="1:11">
      <c r="A7" t="s">
        <v>83</v>
      </c>
      <c r="F7" s="4" t="s">
        <v>48</v>
      </c>
      <c r="G7" s="5" t="s">
        <v>143</v>
      </c>
      <c r="H7" s="11"/>
      <c r="I7" s="3" t="s">
        <v>131</v>
      </c>
    </row>
    <row r="8" spans="1:11" ht="31.2">
      <c r="A8" s="3" t="s">
        <v>144</v>
      </c>
      <c r="F8" s="4" t="s">
        <v>10</v>
      </c>
      <c r="G8" s="5" t="s">
        <v>139</v>
      </c>
      <c r="H8" s="11"/>
    </row>
    <row r="9" spans="1:11" ht="31.2">
      <c r="F9" s="4" t="s">
        <v>11</v>
      </c>
      <c r="G9" s="5" t="s">
        <v>140</v>
      </c>
      <c r="H9" s="11"/>
    </row>
    <row r="10" spans="1:11" ht="31.2">
      <c r="F10" s="4" t="s">
        <v>50</v>
      </c>
      <c r="G10" s="5" t="s">
        <v>141</v>
      </c>
    </row>
    <row r="11" spans="1:11" ht="31.2">
      <c r="F11" s="4" t="s">
        <v>51</v>
      </c>
      <c r="G11" s="5" t="s">
        <v>142</v>
      </c>
      <c r="I11" s="3" t="s">
        <v>132</v>
      </c>
    </row>
    <row r="12" spans="1:11" ht="46.8">
      <c r="F12" s="4" t="s">
        <v>12</v>
      </c>
      <c r="G12" s="5" t="s">
        <v>133</v>
      </c>
    </row>
    <row r="13" spans="1:11" ht="46.8">
      <c r="F13" s="4" t="s">
        <v>7</v>
      </c>
      <c r="G13" s="5" t="s">
        <v>45</v>
      </c>
    </row>
    <row r="14" spans="1:11" ht="46.8">
      <c r="F14" s="4" t="s">
        <v>52</v>
      </c>
      <c r="G14" s="5" t="s">
        <v>47</v>
      </c>
    </row>
    <row r="15" spans="1:11" ht="31.2">
      <c r="F15" s="4" t="s">
        <v>53</v>
      </c>
      <c r="G15" s="5" t="s">
        <v>130</v>
      </c>
      <c r="K15" s="1" t="s">
        <v>72</v>
      </c>
    </row>
    <row r="16" spans="1:11" ht="31.2">
      <c r="F16" s="13" t="s">
        <v>62</v>
      </c>
      <c r="G16" s="5" t="s">
        <v>134</v>
      </c>
      <c r="I16" s="3" t="s">
        <v>127</v>
      </c>
    </row>
    <row r="17" spans="6:9" ht="46.8">
      <c r="F17" s="4" t="s">
        <v>54</v>
      </c>
      <c r="G17" s="5" t="s">
        <v>128</v>
      </c>
    </row>
    <row r="18" spans="6:9" ht="46.8">
      <c r="F18" s="4" t="s">
        <v>55</v>
      </c>
      <c r="G18" s="5" t="s">
        <v>135</v>
      </c>
    </row>
    <row r="19" spans="6:9" ht="46.8">
      <c r="F19" s="13" t="s">
        <v>56</v>
      </c>
      <c r="G19" s="5" t="s">
        <v>136</v>
      </c>
      <c r="I19" s="3" t="s">
        <v>127</v>
      </c>
    </row>
  </sheetData>
  <phoneticPr fontId="1" type="noConversion"/>
  <hyperlinks>
    <hyperlink ref="B4" r:id="rId1" xr:uid="{CAA77A5B-7D9F-405C-9D68-DAEEF5B2436D}"/>
    <hyperlink ref="B3" r:id="rId2" xr:uid="{D3A80402-6B32-4360-9D6A-5482C7DE912A}"/>
    <hyperlink ref="B2" r:id="rId3" xr:uid="{442C568E-82AA-483A-A813-8D5F0D7C6384}"/>
    <hyperlink ref="G2" r:id="rId4" display="https://udb.moe.edu.tw/udata/DetailReportList/%E6%95%99%E8%81%B7%E9%A1%9E/StatUniversityRegularTeacher/Index " xr:uid="{D0235BD1-2EEC-4E1C-AD87-1585C0AFF09A}"/>
  </hyperlinks>
  <pageMargins left="0.7" right="0.7" top="0.75" bottom="0.75" header="0.3" footer="0.3"/>
  <pageSetup paperSize="9" orientation="portrait" verticalDpi="0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8A85-E3FF-4D5B-894E-07FC60A92404}">
  <dimension ref="A1:B6"/>
  <sheetViews>
    <sheetView workbookViewId="0">
      <selection activeCell="D1" sqref="D1"/>
    </sheetView>
  </sheetViews>
  <sheetFormatPr defaultRowHeight="15.6"/>
  <cols>
    <col min="2" max="2" width="53.3984375" bestFit="1" customWidth="1"/>
    <col min="4" max="4" width="24.296875" bestFit="1" customWidth="1"/>
  </cols>
  <sheetData>
    <row r="1" spans="1:2">
      <c r="A1" t="s">
        <v>63</v>
      </c>
      <c r="B1" t="s">
        <v>65</v>
      </c>
    </row>
    <row r="2" spans="1:2">
      <c r="A2" t="s">
        <v>24</v>
      </c>
      <c r="B2" t="s">
        <v>66</v>
      </c>
    </row>
    <row r="3" spans="1:2">
      <c r="A3" t="s">
        <v>25</v>
      </c>
      <c r="B3" t="s">
        <v>67</v>
      </c>
    </row>
    <row r="4" spans="1:2">
      <c r="A4" t="s">
        <v>26</v>
      </c>
      <c r="B4" t="s">
        <v>68</v>
      </c>
    </row>
    <row r="5" spans="1:2">
      <c r="A5" t="s">
        <v>64</v>
      </c>
      <c r="B5" t="s">
        <v>69</v>
      </c>
    </row>
    <row r="6" spans="1:2">
      <c r="A6" t="s">
        <v>27</v>
      </c>
      <c r="B6" t="s">
        <v>70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General</vt:lpstr>
      <vt:lpstr>THE</vt:lpstr>
      <vt:lpstr>QS</vt:lpstr>
      <vt:lpstr>Scource</vt:lpstr>
      <vt:lpstr>Universities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Chiaowen</cp:lastModifiedBy>
  <dcterms:created xsi:type="dcterms:W3CDTF">2021-02-20T01:19:52Z</dcterms:created>
  <dcterms:modified xsi:type="dcterms:W3CDTF">2026-07-16T09:00:59Z</dcterms:modified>
</cp:coreProperties>
</file>